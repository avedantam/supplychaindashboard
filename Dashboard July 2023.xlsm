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ity\Downloads\"/>
    </mc:Choice>
  </mc:AlternateContent>
  <xr:revisionPtr revIDLastSave="0" documentId="13_ncr:1_{6BF3715C-3526-4E0F-96E2-F3D622A156F3}" xr6:coauthVersionLast="47" xr6:coauthVersionMax="47" xr10:uidLastSave="{00000000-0000-0000-0000-000000000000}"/>
  <bookViews>
    <workbookView xWindow="-98" yWindow="-98" windowWidth="22695" windowHeight="14476" xr2:uid="{A0E69519-49B2-43AF-9A33-B136E3A6C14D}"/>
  </bookViews>
  <sheets>
    <sheet name="Dashboard" sheetId="2" r:id="rId1"/>
    <sheet name="Data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" l="1"/>
  <c r="C28" i="1"/>
  <c r="H26" i="1" l="1"/>
  <c r="G26" i="1"/>
  <c r="H19" i="2" l="1"/>
  <c r="C15" i="1"/>
  <c r="W18" i="1"/>
  <c r="W17" i="1"/>
  <c r="W16" i="1"/>
  <c r="W15" i="1"/>
  <c r="W14" i="1"/>
  <c r="W13" i="1"/>
  <c r="O7" i="1"/>
  <c r="Q7" i="1" s="1"/>
  <c r="H18" i="2"/>
  <c r="H17" i="2"/>
  <c r="M17" i="2"/>
  <c r="M16" i="2"/>
  <c r="M15" i="2"/>
  <c r="H16" i="2"/>
  <c r="H15" i="2"/>
  <c r="H11" i="1"/>
  <c r="O6" i="1" s="1"/>
  <c r="Q6" i="1" s="1"/>
  <c r="I17" i="1"/>
  <c r="I16" i="1"/>
  <c r="H5" i="1"/>
  <c r="H4" i="1"/>
  <c r="I3" i="1"/>
  <c r="D5" i="1"/>
  <c r="C18" i="2"/>
  <c r="C17" i="2"/>
  <c r="D4" i="1"/>
  <c r="O5" i="1" l="1"/>
  <c r="P7" i="1"/>
  <c r="P6" i="1"/>
  <c r="P5" i="1"/>
  <c r="Q2" i="1"/>
  <c r="AF4" i="1" l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3" i="1"/>
  <c r="C7" i="2"/>
  <c r="D5" i="2"/>
  <c r="H41" i="1"/>
  <c r="H40" i="1"/>
  <c r="H42" i="1" s="1"/>
  <c r="H39" i="1"/>
  <c r="H38" i="1"/>
  <c r="C38" i="1"/>
  <c r="H37" i="1"/>
  <c r="H36" i="1"/>
  <c r="H35" i="1"/>
  <c r="H34" i="1"/>
  <c r="H33" i="1"/>
  <c r="C27" i="1"/>
  <c r="C25" i="1"/>
  <c r="H24" i="1"/>
  <c r="H25" i="1"/>
  <c r="H27" i="1" s="1"/>
  <c r="H28" i="1" s="1"/>
  <c r="G24" i="1"/>
  <c r="G25" i="1" s="1"/>
  <c r="G27" i="1" s="1"/>
  <c r="G28" i="1" s="1"/>
  <c r="I23" i="1"/>
  <c r="I24" i="1" s="1"/>
  <c r="I25" i="1" s="1"/>
  <c r="I26" i="1" s="1"/>
  <c r="C10" i="2" s="1"/>
  <c r="D7" i="1" s="1"/>
  <c r="C21" i="1"/>
  <c r="C19" i="1"/>
  <c r="C17" i="1"/>
  <c r="H3" i="1"/>
  <c r="C26" i="1" l="1"/>
  <c r="M27" i="2" s="1"/>
  <c r="T7" i="1"/>
  <c r="M22" i="2" s="1"/>
  <c r="T6" i="1"/>
  <c r="H22" i="2" s="1"/>
  <c r="R6" i="1"/>
  <c r="R7" i="1"/>
  <c r="I27" i="1"/>
  <c r="H10" i="2" s="1"/>
  <c r="C29" i="1" s="1"/>
  <c r="C11" i="1"/>
  <c r="P22" i="1" s="1"/>
  <c r="I36" i="1"/>
  <c r="I38" i="1"/>
  <c r="I37" i="1"/>
  <c r="M22" i="1"/>
  <c r="M10" i="2"/>
  <c r="I41" i="1"/>
  <c r="I35" i="1"/>
  <c r="I40" i="1"/>
  <c r="I34" i="1"/>
  <c r="I33" i="1"/>
  <c r="T5" i="1"/>
  <c r="I39" i="1"/>
  <c r="N12" i="1"/>
  <c r="AI27" i="1" l="1"/>
  <c r="I28" i="1"/>
  <c r="C22" i="2"/>
  <c r="T8" i="1"/>
  <c r="I32" i="1"/>
  <c r="I42" i="1" s="1"/>
  <c r="J38" i="1" s="1"/>
  <c r="C35" i="1"/>
  <c r="P10" i="1"/>
  <c r="Q5" i="1"/>
  <c r="R5" i="1" s="1"/>
  <c r="R8" i="1" s="1"/>
  <c r="M20" i="2"/>
  <c r="T27" i="1" l="1"/>
  <c r="M30" i="2"/>
  <c r="H27" i="2"/>
  <c r="AY27" i="1"/>
  <c r="W4" i="1"/>
  <c r="S5" i="1"/>
  <c r="AT27" i="1"/>
  <c r="P28" i="1"/>
  <c r="C24" i="1"/>
  <c r="C31" i="1" s="1"/>
  <c r="J41" i="1"/>
  <c r="J33" i="1"/>
  <c r="J32" i="1"/>
  <c r="J40" i="1"/>
  <c r="J34" i="1"/>
  <c r="J37" i="1"/>
  <c r="J36" i="1"/>
  <c r="J39" i="1"/>
  <c r="J35" i="1"/>
  <c r="C20" i="2"/>
  <c r="V7" i="1"/>
  <c r="V6" i="1"/>
  <c r="H20" i="2"/>
  <c r="AH27" i="1" l="1"/>
  <c r="M33" i="2"/>
  <c r="O10" i="1"/>
  <c r="V5" i="1"/>
  <c r="V8" i="1" s="1"/>
  <c r="W8" i="1" s="1"/>
  <c r="AP27" i="1" l="1"/>
  <c r="O28" i="1"/>
  <c r="AS27" i="1"/>
  <c r="AX27" i="1"/>
  <c r="O22" i="1"/>
  <c r="H30" i="2"/>
  <c r="Q10" i="1"/>
  <c r="Q28" i="1" s="1"/>
  <c r="H33" i="2" l="1"/>
  <c r="AZ27" i="1"/>
  <c r="T135" i="1"/>
  <c r="AB2" i="1"/>
  <c r="AE2" i="1" s="1"/>
  <c r="AO27" i="1"/>
</calcChain>
</file>

<file path=xl/sharedStrings.xml><?xml version="1.0" encoding="utf-8"?>
<sst xmlns="http://schemas.openxmlformats.org/spreadsheetml/2006/main" count="172" uniqueCount="143">
  <si>
    <t>Project 1</t>
  </si>
  <si>
    <t>Project 2</t>
  </si>
  <si>
    <t>Input Battery Scrap Cost</t>
  </si>
  <si>
    <t>c</t>
  </si>
  <si>
    <t>W1</t>
  </si>
  <si>
    <t>Std dev multiplier</t>
  </si>
  <si>
    <t>Conversion Cost</t>
  </si>
  <si>
    <t>c1</t>
  </si>
  <si>
    <t>expectde price</t>
  </si>
  <si>
    <t>mu W1</t>
  </si>
  <si>
    <t>Z</t>
  </si>
  <si>
    <t>Sigma</t>
  </si>
  <si>
    <t>L(Z)</t>
  </si>
  <si>
    <t>Profit</t>
  </si>
  <si>
    <t>mu w1</t>
  </si>
  <si>
    <t>std deviation</t>
  </si>
  <si>
    <t>sigma W1</t>
  </si>
  <si>
    <t>Z1</t>
  </si>
  <si>
    <t>Std deviation</t>
  </si>
  <si>
    <t>sigma w1</t>
  </si>
  <si>
    <t>output price of cobalt</t>
  </si>
  <si>
    <t>r1</t>
  </si>
  <si>
    <t>Z2</t>
  </si>
  <si>
    <t>Q1</t>
  </si>
  <si>
    <t>expected price</t>
  </si>
  <si>
    <t>mu r1</t>
  </si>
  <si>
    <t>Z3</t>
  </si>
  <si>
    <t>Max Expected Profit</t>
  </si>
  <si>
    <t>sigma r1</t>
  </si>
  <si>
    <t>cost of operaton</t>
  </si>
  <si>
    <t>c2</t>
  </si>
  <si>
    <t>Std Dev</t>
  </si>
  <si>
    <t>Individual Project Sum</t>
  </si>
  <si>
    <t>Integrated Supply Chain Profit</t>
  </si>
  <si>
    <t>expected profit</t>
  </si>
  <si>
    <t>Total cost if the project is made standalone, c+c1+c2+c3</t>
  </si>
  <si>
    <t>Project 3</t>
  </si>
  <si>
    <t>Cobalt Price</t>
  </si>
  <si>
    <t>Magnet Price</t>
  </si>
  <si>
    <t>K1</t>
  </si>
  <si>
    <t>Cobalt Sales(in $)</t>
  </si>
  <si>
    <t>Conversion cost</t>
  </si>
  <si>
    <t>c3</t>
  </si>
  <si>
    <t>Manganese Price</t>
  </si>
  <si>
    <t>expected value of input cost</t>
  </si>
  <si>
    <t>Manganese Sale(in $)</t>
  </si>
  <si>
    <t>std. deviation</t>
  </si>
  <si>
    <t>Nickel Price</t>
  </si>
  <si>
    <t>Nickle Sales(in $)</t>
  </si>
  <si>
    <t>Lithium Price</t>
  </si>
  <si>
    <t>Lithium Price(in $)</t>
  </si>
  <si>
    <t>Economic Value Allocation of Cobalt relative to others</t>
  </si>
  <si>
    <t>EV demand per year (2030)</t>
  </si>
  <si>
    <t>CeCo magnet demand per year (kilo tons)</t>
  </si>
  <si>
    <t>Cobalt demand per year for EV applications (in kilo tons)</t>
  </si>
  <si>
    <t>Emission factor for a diesel truck</t>
  </si>
  <si>
    <t>Scrap LIBs requirement per year for recycling (in kilo tons)</t>
  </si>
  <si>
    <t xml:space="preserve">maximum travel distance </t>
  </si>
  <si>
    <t>Carbon emissions avoided by recycling LIBs (in kilo tons)</t>
  </si>
  <si>
    <t>transport emission</t>
  </si>
  <si>
    <t>per ton mile emission of carbon in gms</t>
  </si>
  <si>
    <t>emission savings from recycling</t>
  </si>
  <si>
    <t>CMI Project Dashboard</t>
  </si>
  <si>
    <t>Project 2 Profit</t>
  </si>
  <si>
    <t>Project 3 Profit</t>
  </si>
  <si>
    <t>Demand &amp; Supply</t>
  </si>
  <si>
    <t>Economic Value of Cobalt</t>
  </si>
  <si>
    <t>Project Comparison</t>
  </si>
  <si>
    <t>Individual Project Sum Profit</t>
  </si>
  <si>
    <t>Coordination Benefit</t>
  </si>
  <si>
    <t>Truck Travel Distance (Miles)</t>
  </si>
  <si>
    <t>Total LIB Scrap Required (Kg)</t>
  </si>
  <si>
    <t>Costs</t>
  </si>
  <si>
    <t>Revenue</t>
  </si>
  <si>
    <t>Relative emissions</t>
  </si>
  <si>
    <t>Transport (Scrap LIB)</t>
  </si>
  <si>
    <t>Production (3% sulphuric acid)</t>
  </si>
  <si>
    <t>Production (Ammonium hydroxide)</t>
  </si>
  <si>
    <t>Production (Hydrogen peroxide)</t>
  </si>
  <si>
    <t>Production (Sodium hydroxide)</t>
  </si>
  <si>
    <t>Production (Sodium acetate)</t>
  </si>
  <si>
    <t>Production (Acetic acid)</t>
  </si>
  <si>
    <t>Production (TPA)</t>
  </si>
  <si>
    <t>Electricity usage</t>
  </si>
  <si>
    <t xml:space="preserve">Total </t>
  </si>
  <si>
    <t>Integrated</t>
  </si>
  <si>
    <t>Individual</t>
  </si>
  <si>
    <t>SD</t>
  </si>
  <si>
    <t>Std dev multiplier 1</t>
  </si>
  <si>
    <t>Target Market Percentage</t>
  </si>
  <si>
    <t>Std. Deviation Factor (Multiplier)</t>
  </si>
  <si>
    <t>Mining Emission Factor (Kg CO2 per Kg of Cobalt Oxide)</t>
  </si>
  <si>
    <t>Planned Capacity/Output Volume</t>
  </si>
  <si>
    <t>Travel Emission Factor (Kg CO2 per Ton Mile)</t>
  </si>
  <si>
    <t>Annual Cobalt Sales Value</t>
  </si>
  <si>
    <t>Annual Manganese Sales Value</t>
  </si>
  <si>
    <t>Annual Nickel Sales Value</t>
  </si>
  <si>
    <t>Annual Lithium Sales Value</t>
  </si>
  <si>
    <t>Standardized Cobalt Mean Price</t>
  </si>
  <si>
    <t>Battery Scrap Input Cost (Per Kg)</t>
  </si>
  <si>
    <t>Stage 1 Conversion Cost (Per Kg)</t>
  </si>
  <si>
    <t>Stage 2 Conversion Cost (Per Kg)</t>
  </si>
  <si>
    <t>Cobalt Input Mean Cost (Per Kg)</t>
  </si>
  <si>
    <t>Stage 3 Conversion Cost (Per Kg)</t>
  </si>
  <si>
    <t>Scenario Visual Analysis</t>
  </si>
  <si>
    <t>Select Demand Type (Or Enter Car Demand)</t>
  </si>
  <si>
    <t>Cerium Cobalt Magnet Output Mean Cost (Per Kg)</t>
  </si>
  <si>
    <t>Project 1 (P1) Profit</t>
  </si>
  <si>
    <t>Production (Polypropylene Membrane)</t>
  </si>
  <si>
    <t>SSP5 Baseline 8.5 2030</t>
  </si>
  <si>
    <t>SSP5, RCP2.6 2030</t>
  </si>
  <si>
    <t>Unconditional</t>
  </si>
  <si>
    <t>Project 2 Unconditional Profit</t>
  </si>
  <si>
    <t>Project 3 Unconditional Profit</t>
  </si>
  <si>
    <t>Project 1 (P1) Unconditional Profit</t>
  </si>
  <si>
    <t>Carbon Emission from Mining (MT)</t>
  </si>
  <si>
    <t>Carbon Emission from Recycling (MT)</t>
  </si>
  <si>
    <t>Emission Savings for P1 (MT)</t>
  </si>
  <si>
    <t>market price of cobalt carbonate</t>
  </si>
  <si>
    <t>Buy</t>
  </si>
  <si>
    <t>Sell</t>
  </si>
  <si>
    <t>Market Price of Cobalt Carbonate</t>
  </si>
  <si>
    <t>Cobalt Carbonate Output Mean Price (Per Kg)</t>
  </si>
  <si>
    <t>1-NORM.S.DIST(o5,TRUE)</t>
  </si>
  <si>
    <t xml:space="preserve"> </t>
  </si>
  <si>
    <t>Emisison allocation to cobalt carbonate for 1000 ton LIB processing (in kilo tons)</t>
  </si>
  <si>
    <t xml:space="preserve">Carbon emission from Co Carbonate from mining </t>
  </si>
  <si>
    <t>Carbon emission from CoCarbonate from mining</t>
  </si>
  <si>
    <t>Emission per CoCarbonate Kg</t>
  </si>
  <si>
    <t>Total CoCarbonate Emission production CO2</t>
  </si>
  <si>
    <t>Combined Input and Output Standard Deviation</t>
  </si>
  <si>
    <t>1-NORM.S.DIST(o6,TRUE)</t>
  </si>
  <si>
    <t>Cobalt Carbonate Input Mean Cost (Per Kg)</t>
  </si>
  <si>
    <t>Cobalt Price Std. Deviation</t>
  </si>
  <si>
    <t>Cobalt Output Mean Price (Per Kg)</t>
  </si>
  <si>
    <t>Cobalt Carbonate Std Deviation</t>
  </si>
  <si>
    <t>This is price for cobalt output per kg ofc obalt Carbonate</t>
  </si>
  <si>
    <t>Rea; Option Sum</t>
  </si>
  <si>
    <t>% Benefit</t>
  </si>
  <si>
    <t>Cobalt Carbonate Cost Std. Deviation</t>
  </si>
  <si>
    <t>Cobalt Carbonate Demand (Kg)</t>
  </si>
  <si>
    <t>Cobalt carbonate demand per year for EV applications (in kilo tons)</t>
  </si>
  <si>
    <t>Vol of cobalt carbonate demand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</si>
</sst>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_(* #,##0_);_(* \(#,##0\);_(* &quot;-&quot;??_);_(@_)"/>
    <numFmt numFmtId="166" formatCode="_(&quot;$&quot;* #,##0_);_(&quot;$&quot;* \(#,##0\);_(&quot;$&quot;* &quot;-&quot;??_);_(@_)"/>
    <numFmt numFmtId="167" formatCode="0.000%"/>
    <numFmt numFmtId="168" formatCode="0.0000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9" tint="-0.249977111117893"/>
      <name val="Calibri"/>
      <family val="2"/>
      <scheme val="minor"/>
    </font>
    <font>
      <sz val="18"/>
      <color theme="9" tint="-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41414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1" xfId="0" applyFill="1" applyBorder="1"/>
    <xf numFmtId="0" fontId="0" fillId="0" borderId="1" xfId="0" applyBorder="1"/>
    <xf numFmtId="0" fontId="0" fillId="0" borderId="1" xfId="0" applyBorder="1" applyAlignment="1">
      <alignment horizontal="center" wrapText="1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4" borderId="1" xfId="0" applyFill="1" applyBorder="1"/>
    <xf numFmtId="0" fontId="0" fillId="4" borderId="0" xfId="0" applyFill="1"/>
    <xf numFmtId="0" fontId="0" fillId="5" borderId="0" xfId="0" applyFill="1"/>
    <xf numFmtId="0" fontId="2" fillId="0" borderId="0" xfId="0" applyFont="1"/>
    <xf numFmtId="2" fontId="0" fillId="0" borderId="0" xfId="0" applyNumberFormat="1"/>
    <xf numFmtId="1" fontId="0" fillId="0" borderId="0" xfId="0" applyNumberFormat="1"/>
    <xf numFmtId="166" fontId="0" fillId="0" borderId="0" xfId="2" applyNumberFormat="1" applyFont="1"/>
    <xf numFmtId="44" fontId="0" fillId="4" borderId="1" xfId="0" applyNumberFormat="1" applyFill="1" applyBorder="1"/>
    <xf numFmtId="44" fontId="0" fillId="2" borderId="1" xfId="0" applyNumberFormat="1" applyFill="1" applyBorder="1"/>
    <xf numFmtId="44" fontId="0" fillId="0" borderId="0" xfId="0" applyNumberFormat="1"/>
    <xf numFmtId="44" fontId="0" fillId="4" borderId="0" xfId="0" applyNumberFormat="1" applyFill="1"/>
    <xf numFmtId="0" fontId="4" fillId="0" borderId="0" xfId="0" applyFont="1"/>
    <xf numFmtId="167" fontId="0" fillId="0" borderId="0" xfId="3" applyNumberFormat="1" applyFont="1"/>
    <xf numFmtId="168" fontId="0" fillId="0" borderId="0" xfId="3" applyNumberFormat="1" applyFont="1"/>
    <xf numFmtId="0" fontId="5" fillId="5" borderId="0" xfId="0" applyFont="1" applyFill="1"/>
    <xf numFmtId="0" fontId="0" fillId="6" borderId="0" xfId="0" applyFill="1"/>
    <xf numFmtId="0" fontId="5" fillId="6" borderId="0" xfId="0" applyFont="1" applyFill="1"/>
    <xf numFmtId="0" fontId="3" fillId="0" borderId="0" xfId="0" applyFont="1"/>
    <xf numFmtId="165" fontId="6" fillId="0" borderId="0" xfId="1" applyNumberFormat="1" applyFont="1"/>
    <xf numFmtId="164" fontId="6" fillId="0" borderId="0" xfId="0" applyNumberFormat="1" applyFont="1"/>
    <xf numFmtId="166" fontId="6" fillId="0" borderId="0" xfId="2" applyNumberFormat="1" applyFont="1"/>
    <xf numFmtId="166" fontId="6" fillId="0" borderId="0" xfId="0" applyNumberFormat="1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165" fontId="13" fillId="0" borderId="0" xfId="1" applyNumberFormat="1" applyFont="1" applyFill="1"/>
    <xf numFmtId="0" fontId="15" fillId="5" borderId="0" xfId="0" applyFont="1" applyFill="1" applyAlignment="1">
      <alignment horizontal="center"/>
    </xf>
    <xf numFmtId="0" fontId="15" fillId="5" borderId="0" xfId="0" applyFont="1" applyFill="1"/>
    <xf numFmtId="0" fontId="16" fillId="0" borderId="0" xfId="0" applyFont="1"/>
    <xf numFmtId="165" fontId="0" fillId="0" borderId="0" xfId="1" applyNumberFormat="1" applyFont="1"/>
    <xf numFmtId="10" fontId="0" fillId="0" borderId="0" xfId="3" applyNumberFormat="1" applyFont="1"/>
    <xf numFmtId="165" fontId="8" fillId="0" borderId="0" xfId="1" applyNumberFormat="1" applyFont="1" applyAlignment="1" applyProtection="1">
      <alignment horizontal="right"/>
      <protection locked="0"/>
    </xf>
    <xf numFmtId="10" fontId="8" fillId="0" borderId="0" xfId="3" applyNumberFormat="1" applyFont="1" applyProtection="1">
      <protection locked="0"/>
    </xf>
    <xf numFmtId="165" fontId="8" fillId="0" borderId="0" xfId="1" applyNumberFormat="1" applyFont="1" applyProtection="1">
      <protection locked="0"/>
    </xf>
    <xf numFmtId="2" fontId="8" fillId="0" borderId="0" xfId="0" applyNumberFormat="1" applyFont="1" applyProtection="1">
      <protection locked="0"/>
    </xf>
    <xf numFmtId="0" fontId="8" fillId="0" borderId="0" xfId="0" applyFont="1" applyProtection="1">
      <protection locked="0"/>
    </xf>
    <xf numFmtId="44" fontId="8" fillId="0" borderId="0" xfId="2" applyFont="1" applyAlignment="1" applyProtection="1">
      <alignment horizontal="left"/>
      <protection locked="0"/>
    </xf>
    <xf numFmtId="166" fontId="8" fillId="0" borderId="0" xfId="2" applyNumberFormat="1" applyFont="1" applyProtection="1">
      <protection locked="0"/>
    </xf>
    <xf numFmtId="44" fontId="11" fillId="0" borderId="0" xfId="2" applyFont="1" applyProtection="1">
      <protection locked="0"/>
    </xf>
    <xf numFmtId="2" fontId="11" fillId="0" borderId="0" xfId="0" applyNumberFormat="1" applyFont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43" fontId="6" fillId="0" borderId="0" xfId="1" applyFont="1"/>
    <xf numFmtId="0" fontId="18" fillId="0" borderId="0" xfId="0" quotePrefix="1" applyFont="1"/>
    <xf numFmtId="0" fontId="0" fillId="7" borderId="0" xfId="0" applyFill="1"/>
    <xf numFmtId="44" fontId="0" fillId="0" borderId="0" xfId="0" quotePrefix="1" applyNumberFormat="1"/>
    <xf numFmtId="166" fontId="0" fillId="2" borderId="0" xfId="0" applyNumberFormat="1" applyFill="1"/>
    <xf numFmtId="44" fontId="0" fillId="2" borderId="0" xfId="0" applyNumberFormat="1" applyFill="1"/>
    <xf numFmtId="44" fontId="17" fillId="0" borderId="0" xfId="0" applyNumberFormat="1" applyFont="1"/>
    <xf numFmtId="0" fontId="14" fillId="0" borderId="0" xfId="0" applyFont="1" applyAlignment="1">
      <alignment horizontal="center"/>
    </xf>
    <xf numFmtId="0" fontId="15" fillId="5" borderId="0" xfId="0" applyFont="1" applyFill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DE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Margin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0326068163942E-2"/>
          <c:y val="1.5188982396152668E-2"/>
          <c:w val="0.85697869567341178"/>
          <c:h val="0.821261270955585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Data!$U$4</c:f>
              <c:strCache>
                <c:ptCount val="1"/>
                <c:pt idx="0">
                  <c:v>Integrated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Data!$V$3:$W$3</c:f>
              <c:strCache>
                <c:ptCount val="2"/>
                <c:pt idx="0">
                  <c:v>Individual</c:v>
                </c:pt>
                <c:pt idx="1">
                  <c:v>Integrated</c:v>
                </c:pt>
              </c:strCache>
            </c:strRef>
          </c:cat>
          <c:val>
            <c:numRef>
              <c:f>Data!$V$4:$W$4</c:f>
              <c:numCache>
                <c:formatCode>_("$"* #,##0.00_);_("$"* \(#,##0.00\);_("$"* "-"??_);_(@_)</c:formatCode>
                <c:ptCount val="2"/>
                <c:pt idx="1">
                  <c:v>785400.0000000014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14-4272-9743-D52DB448B2A7}"/>
            </c:ext>
          </c:extLst>
        </c:ser>
        <c:ser>
          <c:idx val="1"/>
          <c:order val="1"/>
          <c:tx>
            <c:strRef>
              <c:f>Data!$U$5</c:f>
              <c:strCache>
                <c:ptCount val="1"/>
                <c:pt idx="0">
                  <c:v>Project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Data!$V$3:$W$3</c:f>
              <c:strCache>
                <c:ptCount val="2"/>
                <c:pt idx="0">
                  <c:v>Individual</c:v>
                </c:pt>
                <c:pt idx="1">
                  <c:v>Integrated</c:v>
                </c:pt>
              </c:strCache>
            </c:strRef>
          </c:cat>
          <c:val>
            <c:numRef>
              <c:f>Data!$V$5:$W$5</c:f>
              <c:numCache>
                <c:formatCode>General</c:formatCode>
                <c:ptCount val="2"/>
                <c:pt idx="0" formatCode="_(&quot;$&quot;* #,##0_);_(&quot;$&quot;* \(#,##0\);_(&quot;$&quot;* &quot;-&quot;??_);_(@_)">
                  <c:v>97208.819740710605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14-4272-9743-D52DB448B2A7}"/>
            </c:ext>
          </c:extLst>
        </c:ser>
        <c:ser>
          <c:idx val="2"/>
          <c:order val="2"/>
          <c:tx>
            <c:strRef>
              <c:f>Data!$U$6</c:f>
              <c:strCache>
                <c:ptCount val="1"/>
                <c:pt idx="0">
                  <c:v>Project 2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Data!$V$3:$W$3</c:f>
              <c:strCache>
                <c:ptCount val="2"/>
                <c:pt idx="0">
                  <c:v>Individual</c:v>
                </c:pt>
                <c:pt idx="1">
                  <c:v>Integrated</c:v>
                </c:pt>
              </c:strCache>
            </c:strRef>
          </c:cat>
          <c:val>
            <c:numRef>
              <c:f>Data!$V$6:$W$6</c:f>
              <c:numCache>
                <c:formatCode>General</c:formatCode>
                <c:ptCount val="2"/>
                <c:pt idx="0" formatCode="_(&quot;$&quot;* #,##0_);_(&quot;$&quot;* \(#,##0\);_(&quot;$&quot;* &quot;-&quot;??_);_(@_)">
                  <c:v>222848.48428947589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14-4272-9743-D52DB448B2A7}"/>
            </c:ext>
          </c:extLst>
        </c:ser>
        <c:ser>
          <c:idx val="3"/>
          <c:order val="3"/>
          <c:tx>
            <c:strRef>
              <c:f>Data!$U$7</c:f>
              <c:strCache>
                <c:ptCount val="1"/>
                <c:pt idx="0">
                  <c:v>Project 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numFmt formatCode="&quot;$&quot;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4EBF-481B-9827-916467880383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Data!$V$3:$W$3</c:f>
              <c:strCache>
                <c:ptCount val="2"/>
                <c:pt idx="0">
                  <c:v>Individual</c:v>
                </c:pt>
                <c:pt idx="1">
                  <c:v>Integrated</c:v>
                </c:pt>
              </c:strCache>
            </c:strRef>
          </c:cat>
          <c:val>
            <c:numRef>
              <c:f>Data!$V$7:$W$7</c:f>
              <c:numCache>
                <c:formatCode>General</c:formatCode>
                <c:ptCount val="2"/>
                <c:pt idx="0" formatCode="_(&quot;$&quot;* #,##0_);_(&quot;$&quot;* \(#,##0\);_(&quot;$&quot;* &quot;-&quot;??_);_(@_)">
                  <c:v>428990.27096669137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14-4272-9743-D52DB448B2A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537888080"/>
        <c:axId val="1537889040"/>
      </c:barChart>
      <c:catAx>
        <c:axId val="153788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889040"/>
        <c:crosses val="autoZero"/>
        <c:auto val="1"/>
        <c:lblAlgn val="ctr"/>
        <c:lblOffset val="100"/>
        <c:noMultiLvlLbl val="0"/>
      </c:catAx>
      <c:valAx>
        <c:axId val="1537889040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i="1"/>
                  <a:t>Project</a:t>
                </a:r>
                <a:r>
                  <a:rPr lang="en-US" i="1" baseline="0"/>
                  <a:t> </a:t>
                </a:r>
                <a:r>
                  <a:rPr lang="en-US" i="1"/>
                  <a:t>Profit</a:t>
                </a:r>
              </a:p>
            </c:rich>
          </c:tx>
          <c:layout>
            <c:manualLayout>
              <c:xMode val="edge"/>
              <c:yMode val="edge"/>
              <c:x val="1.0353935068747693E-2"/>
              <c:y val="6.037086616019238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88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 1 Carbon Footprint in CO2</a:t>
            </a:r>
            <a:r>
              <a:rPr lang="en-US" baseline="0"/>
              <a:t>-Eq Metric Ton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67313663278985"/>
          <c:y val="8.5757225433526013E-2"/>
          <c:w val="0.75551645965124303"/>
          <c:h val="0.835206226389331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BD-4FD0-811F-E5DCC88DDB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Dashboard!$L$27:$L$30</c:f>
              <c:strCache>
                <c:ptCount val="4"/>
                <c:pt idx="0">
                  <c:v>Carbon Emission from Mining (MT)</c:v>
                </c:pt>
                <c:pt idx="3">
                  <c:v>Carbon Emission from Recycling (MT)</c:v>
                </c:pt>
              </c:strCache>
            </c:strRef>
          </c:cat>
          <c:val>
            <c:numRef>
              <c:f>Dashboard!$M$27:$M$30</c:f>
              <c:numCache>
                <c:formatCode>General</c:formatCode>
                <c:ptCount val="4"/>
                <c:pt idx="0" formatCode="_(* #,##0.00_);_(* \(#,##0.00\);_(* &quot;-&quot;??_);_(@_)">
                  <c:v>1753.6395333333369</c:v>
                </c:pt>
                <c:pt idx="3" formatCode="_(* #,##0.00_);_(* \(#,##0.00\);_(* &quot;-&quot;??_);_(@_)">
                  <c:v>1061.0640832373822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C-4437-9B38-591246EC4A1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906240784"/>
        <c:axId val="13063120"/>
      </c:barChart>
      <c:catAx>
        <c:axId val="90624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3120"/>
        <c:crosses val="autoZero"/>
        <c:auto val="1"/>
        <c:lblAlgn val="ctr"/>
        <c:lblOffset val="100"/>
        <c:noMultiLvlLbl val="0"/>
      </c:catAx>
      <c:valAx>
        <c:axId val="13063120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extTo"/>
        <c:crossAx val="90624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Standard Deviation Multiplier Effect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58893338942773"/>
          <c:y val="0.11733147944480796"/>
          <c:w val="0.77046300397241019"/>
          <c:h val="0.81480752225519837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Data!$Q$27</c:f>
              <c:strCache>
                <c:ptCount val="1"/>
                <c:pt idx="0">
                  <c:v>Coordination Benefit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Data!$Q$29:$Q$48</c:f>
              <c:numCache>
                <c:formatCode>_("$"* #,##0_);_("$"* \(#,##0\);_("$"* "-"??_);_(@_)</c:formatCode>
                <c:ptCount val="20"/>
                <c:pt idx="0">
                  <c:v>396335.24250031315</c:v>
                </c:pt>
                <c:pt idx="1">
                  <c:v>356337.15166729206</c:v>
                </c:pt>
                <c:pt idx="2">
                  <c:v>316339.06083427102</c:v>
                </c:pt>
                <c:pt idx="3">
                  <c:v>276340.97000124992</c:v>
                </c:pt>
                <c:pt idx="4">
                  <c:v>236342.87916822894</c:v>
                </c:pt>
                <c:pt idx="5">
                  <c:v>196344.78833520785</c:v>
                </c:pt>
                <c:pt idx="6">
                  <c:v>156346.69750218675</c:v>
                </c:pt>
                <c:pt idx="7">
                  <c:v>116348.60666916566</c:v>
                </c:pt>
                <c:pt idx="8">
                  <c:v>76350.515836144565</c:v>
                </c:pt>
                <c:pt idx="9">
                  <c:v>36352.42500312347</c:v>
                </c:pt>
                <c:pt idx="10">
                  <c:v>-3645.6658298976254</c:v>
                </c:pt>
                <c:pt idx="11">
                  <c:v>-43643.756662918604</c:v>
                </c:pt>
                <c:pt idx="12">
                  <c:v>-83641.847495939815</c:v>
                </c:pt>
                <c:pt idx="13">
                  <c:v>-123639.93832896068</c:v>
                </c:pt>
                <c:pt idx="14">
                  <c:v>-163638.02916198177</c:v>
                </c:pt>
                <c:pt idx="15">
                  <c:v>-203636.11999500298</c:v>
                </c:pt>
                <c:pt idx="16">
                  <c:v>-243634.21082802396</c:v>
                </c:pt>
                <c:pt idx="17">
                  <c:v>-283632.30166104506</c:v>
                </c:pt>
                <c:pt idx="18">
                  <c:v>-323630.39249406615</c:v>
                </c:pt>
                <c:pt idx="19">
                  <c:v>-363628.48332708701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01-4831-B550-7A7F0964A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47697504"/>
        <c:axId val="1547680224"/>
      </c:barChart>
      <c:lineChart>
        <c:grouping val="standard"/>
        <c:varyColors val="0"/>
        <c:ser>
          <c:idx val="0"/>
          <c:order val="0"/>
          <c:tx>
            <c:strRef>
              <c:f>Data!$O$27</c:f>
              <c:strCache>
                <c:ptCount val="1"/>
                <c:pt idx="0">
                  <c:v>Individual Project Sum</c:v>
                </c:pt>
              </c:strCache>
            </c:strRef>
          </c:tx>
          <c:spPr>
            <a:ln w="19050" cap="rnd" cmpd="sng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Data!$N$29:$N$48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cat>
          <c:val>
            <c:numRef>
              <c:f>Data!$O$29:$O$48</c:f>
              <c:numCache>
                <c:formatCode>_("$"* #,##0_);_("$"* \(#,##0\);_("$"* "-"??_);_(@_)</c:formatCode>
                <c:ptCount val="20"/>
                <c:pt idx="0">
                  <c:v>389064.75749968825</c:v>
                </c:pt>
                <c:pt idx="1">
                  <c:v>429062.84833270934</c:v>
                </c:pt>
                <c:pt idx="2">
                  <c:v>469060.93916573038</c:v>
                </c:pt>
                <c:pt idx="3">
                  <c:v>509059.02999875147</c:v>
                </c:pt>
                <c:pt idx="4">
                  <c:v>549057.12083177245</c:v>
                </c:pt>
                <c:pt idx="5">
                  <c:v>589055.21166479355</c:v>
                </c:pt>
                <c:pt idx="6">
                  <c:v>629053.30249781464</c:v>
                </c:pt>
                <c:pt idx="7">
                  <c:v>669051.39333083574</c:v>
                </c:pt>
                <c:pt idx="8">
                  <c:v>709049.48416385683</c:v>
                </c:pt>
                <c:pt idx="9">
                  <c:v>749047.57499687793</c:v>
                </c:pt>
                <c:pt idx="10">
                  <c:v>789045.66582989902</c:v>
                </c:pt>
                <c:pt idx="11">
                  <c:v>829043.75666292</c:v>
                </c:pt>
                <c:pt idx="12">
                  <c:v>869041.84749594121</c:v>
                </c:pt>
                <c:pt idx="13">
                  <c:v>909039.93832896207</c:v>
                </c:pt>
                <c:pt idx="14">
                  <c:v>949038.02916198317</c:v>
                </c:pt>
                <c:pt idx="15">
                  <c:v>989036.11999500438</c:v>
                </c:pt>
                <c:pt idx="16">
                  <c:v>1029034.2108280254</c:v>
                </c:pt>
                <c:pt idx="17">
                  <c:v>1069032.3016610465</c:v>
                </c:pt>
                <c:pt idx="18">
                  <c:v>1109030.3924940675</c:v>
                </c:pt>
                <c:pt idx="19">
                  <c:v>1149028.4833270884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01-4831-B550-7A7F0964A500}"/>
            </c:ext>
          </c:extLst>
        </c:ser>
        <c:ser>
          <c:idx val="1"/>
          <c:order val="1"/>
          <c:tx>
            <c:strRef>
              <c:f>Data!$P$27</c:f>
              <c:strCache>
                <c:ptCount val="1"/>
                <c:pt idx="0">
                  <c:v>Integrated Supply Chain Profit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Data!$N$29:$N$48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cat>
          <c:val>
            <c:numRef>
              <c:f>Data!$P$29:$P$48</c:f>
              <c:numCache>
                <c:formatCode>_("$"* #,##0_);_("$"* \(#,##0\);_("$"* "-"??_);_(@_)</c:formatCode>
                <c:ptCount val="20"/>
                <c:pt idx="0">
                  <c:v>785400.0000000014</c:v>
                </c:pt>
                <c:pt idx="1">
                  <c:v>785400.0000000014</c:v>
                </c:pt>
                <c:pt idx="2">
                  <c:v>785400.0000000014</c:v>
                </c:pt>
                <c:pt idx="3">
                  <c:v>785400.0000000014</c:v>
                </c:pt>
                <c:pt idx="4">
                  <c:v>785400.0000000014</c:v>
                </c:pt>
                <c:pt idx="5">
                  <c:v>785400.0000000014</c:v>
                </c:pt>
                <c:pt idx="6">
                  <c:v>785400.0000000014</c:v>
                </c:pt>
                <c:pt idx="7">
                  <c:v>785400.0000000014</c:v>
                </c:pt>
                <c:pt idx="8">
                  <c:v>785400.0000000014</c:v>
                </c:pt>
                <c:pt idx="9">
                  <c:v>785400.0000000014</c:v>
                </c:pt>
                <c:pt idx="10">
                  <c:v>785400.0000000014</c:v>
                </c:pt>
                <c:pt idx="11">
                  <c:v>785400.0000000014</c:v>
                </c:pt>
                <c:pt idx="12">
                  <c:v>785400.0000000014</c:v>
                </c:pt>
                <c:pt idx="13">
                  <c:v>785400.0000000014</c:v>
                </c:pt>
                <c:pt idx="14">
                  <c:v>785400.0000000014</c:v>
                </c:pt>
                <c:pt idx="15">
                  <c:v>785400.0000000014</c:v>
                </c:pt>
                <c:pt idx="16">
                  <c:v>785400.0000000014</c:v>
                </c:pt>
                <c:pt idx="17">
                  <c:v>785400.0000000014</c:v>
                </c:pt>
                <c:pt idx="18">
                  <c:v>785400.0000000014</c:v>
                </c:pt>
                <c:pt idx="19">
                  <c:v>785400.0000000014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01-4831-B550-7A7F0964A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7888560"/>
        <c:axId val="1537869840"/>
      </c:lineChart>
      <c:catAx>
        <c:axId val="153788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i="1"/>
                  <a:t>Standard</a:t>
                </a:r>
                <a:r>
                  <a:rPr lang="en-US" i="1" baseline="0"/>
                  <a:t> Deviation Multiplier</a:t>
                </a:r>
                <a:endParaRPr lang="en-US" i="1"/>
              </a:p>
            </c:rich>
          </c:tx>
          <c:layout>
            <c:manualLayout>
              <c:xMode val="edge"/>
              <c:yMode val="edge"/>
              <c:x val="0.38319380994639807"/>
              <c:y val="0.96396018420051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869840"/>
        <c:crosses val="autoZero"/>
        <c:auto val="1"/>
        <c:lblAlgn val="ctr"/>
        <c:lblOffset val="100"/>
        <c:noMultiLvlLbl val="0"/>
      </c:catAx>
      <c:valAx>
        <c:axId val="1537869840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i="1"/>
                  <a:t>Project Profit</a:t>
                </a:r>
              </a:p>
            </c:rich>
          </c:tx>
          <c:layout>
            <c:manualLayout>
              <c:xMode val="edge"/>
              <c:yMode val="edge"/>
              <c:x val="1.0362667242841845E-2"/>
              <c:y val="5.755202335764678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888560"/>
        <c:crosses val="autoZero"/>
        <c:crossBetween val="between"/>
      </c:valAx>
      <c:valAx>
        <c:axId val="1547680224"/>
        <c:scaling>
          <c:orientation val="minMax"/>
        </c:scaling>
        <c:delete val="0"/>
        <c:axPos val="r"/>
        <c:title>
          <c:tx>
            <c:rich>
              <a:bodyPr rot="0" spcFirstLastPara="1" vertOverflow="ellipsis" wrap="square" anchor="t" anchorCtr="0"/>
              <a:lstStyle/>
              <a:p>
                <a:pPr algn="r"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i="1"/>
                  <a:t>Coordination Benefit</a:t>
                </a:r>
              </a:p>
            </c:rich>
          </c:tx>
          <c:layout>
            <c:manualLayout>
              <c:xMode val="edge"/>
              <c:yMode val="edge"/>
              <c:x val="0.80573099560263872"/>
              <c:y val="5.992227804244584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 algn="r"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7697504"/>
        <c:crosses val="max"/>
        <c:crossBetween val="between"/>
      </c:valAx>
      <c:catAx>
        <c:axId val="1547697504"/>
        <c:scaling>
          <c:orientation val="minMax"/>
        </c:scaling>
        <c:delete val="1"/>
        <c:axPos val="b"/>
        <c:majorTickMark val="out"/>
        <c:minorTickMark val="none"/>
        <c:tickLblPos val="nextTo"/>
        <c:crossAx val="1547680224"/>
        <c:crosses val="autoZero"/>
        <c:auto val="1"/>
        <c:lblAlgn val="ctr"/>
        <c:lblOffset val="100"/>
        <c:noMultiLvlLbl val="1"/>
      </c:catAx>
      <c:spPr>
        <a:noFill/>
        <a:ln w="25400">
          <a:noFill/>
        </a:ln>
        <a:effectLst/>
      </c:spPr>
    </c:plotArea>
    <c:legend>
      <c:legendPos val="b"/>
      <c:layout>
        <c:manualLayout>
          <c:xMode val="edge"/>
          <c:yMode val="edge"/>
          <c:x val="0.1325063652887529"/>
          <c:y val="7.810082503526454E-2"/>
          <c:w val="0.73722136256508486"/>
          <c:h val="7.2959838225669635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Project 1 (P1) / Recycling Emission Mix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Data!$F$32:$F$41</c:f>
              <c:strCache>
                <c:ptCount val="10"/>
                <c:pt idx="0">
                  <c:v>Transport (Scrap LIB)</c:v>
                </c:pt>
                <c:pt idx="1">
                  <c:v>Production (3% sulphuric acid)</c:v>
                </c:pt>
                <c:pt idx="2">
                  <c:v>Production (Ammonium hydroxide)</c:v>
                </c:pt>
                <c:pt idx="3">
                  <c:v>Production (Hydrogen peroxide)</c:v>
                </c:pt>
                <c:pt idx="4">
                  <c:v>Production (Sodium hydroxide)</c:v>
                </c:pt>
                <c:pt idx="5">
                  <c:v>Production (Sodium acetate)</c:v>
                </c:pt>
                <c:pt idx="6">
                  <c:v>Production (Acetic acid)</c:v>
                </c:pt>
                <c:pt idx="7">
                  <c:v>Production (TPA)</c:v>
                </c:pt>
                <c:pt idx="8">
                  <c:v>Production (Polypropylene Membrane)</c:v>
                </c:pt>
                <c:pt idx="9">
                  <c:v>Electricity usage</c:v>
                </c:pt>
              </c:strCache>
            </c:strRef>
          </c:cat>
          <c:val>
            <c:numRef>
              <c:f>Data!$J$32:$J$41</c:f>
              <c:numCache>
                <c:formatCode>0.000%</c:formatCode>
                <c:ptCount val="10"/>
                <c:pt idx="0">
                  <c:v>8.6838046334405547E-2</c:v>
                </c:pt>
                <c:pt idx="1">
                  <c:v>1.8711573846717737E-4</c:v>
                </c:pt>
                <c:pt idx="2">
                  <c:v>1.1141659888545139E-4</c:v>
                </c:pt>
                <c:pt idx="3">
                  <c:v>2.5433023348242257E-2</c:v>
                </c:pt>
                <c:pt idx="4">
                  <c:v>0.39675412472818633</c:v>
                </c:pt>
                <c:pt idx="5">
                  <c:v>7.0595390875172962E-4</c:v>
                </c:pt>
                <c:pt idx="6">
                  <c:v>6.7772989925041056E-5</c:v>
                </c:pt>
                <c:pt idx="7">
                  <c:v>8.5808315075838266E-5</c:v>
                </c:pt>
                <c:pt idx="8">
                  <c:v>0.47491214720347408</c:v>
                </c:pt>
                <c:pt idx="9">
                  <c:v>1.4904590834586524E-2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4-4386-92A9-B1424FE24B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75258399"/>
        <c:axId val="75256479"/>
      </c:barChart>
      <c:catAx>
        <c:axId val="75258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56479"/>
        <c:crosses val="autoZero"/>
        <c:auto val="1"/>
        <c:lblAlgn val="ctr"/>
        <c:lblOffset val="100"/>
        <c:noMultiLvlLbl val="0"/>
      </c:catAx>
      <c:valAx>
        <c:axId val="75256479"/>
        <c:scaling>
          <c:orientation val="minMax"/>
        </c:scaling>
        <c:delete val="1"/>
        <c:axPos val="b"/>
        <c:numFmt formatCode="0.000%" sourceLinked="1"/>
        <c:majorTickMark val="none"/>
        <c:minorTickMark val="none"/>
        <c:tickLblPos val="nextTo"/>
        <c:crossAx val="75258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1199878</xdr:colOff>
      <xdr:row>36</xdr:row>
      <xdr:rowOff>139278</xdr:rowOff>
    </xdr:from>
    <xdr:to>
      <xdr:col>6</xdr:col>
      <xdr:colOff>1647975</xdr:colOff>
      <xdr:row>66</xdr:row>
      <xdr:rowOff>43718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40FE51-9AB7-48B4-8A7D-E72CC006A8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52917</xdr:colOff>
      <xdr:row>36</xdr:row>
      <xdr:rowOff>142076</xdr:rowOff>
    </xdr:from>
    <xdr:to>
      <xdr:col>12</xdr:col>
      <xdr:colOff>1494418</xdr:colOff>
      <xdr:row>66</xdr:row>
      <xdr:rowOff>56041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9B5596E-89AB-06EB-1625-2035761077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1133474</xdr:colOff>
      <xdr:row>67</xdr:row>
      <xdr:rowOff>32913</xdr:rowOff>
    </xdr:from>
    <xdr:to>
      <xdr:col>6</xdr:col>
      <xdr:colOff>1657349</xdr:colOff>
      <xdr:row>96</xdr:row>
      <xdr:rowOff>152399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69BB83C-4287-44C1-89CE-4208406E26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3743325</xdr:colOff>
      <xdr:row>68</xdr:row>
      <xdr:rowOff>70056</xdr:rowOff>
    </xdr:from>
    <xdr:to>
      <xdr:col>13</xdr:col>
      <xdr:colOff>28575</xdr:colOff>
      <xdr:row>94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BDE071A-339D-44AD-BFB5-9F7B95B855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432622</xdr:colOff>
      <xdr:row>12</xdr:row>
      <xdr:rowOff>144603</xdr:rowOff>
    </xdr:from>
    <xdr:to>
      <xdr:col>9</xdr:col>
      <xdr:colOff>439328</xdr:colOff>
      <xdr:row>24</xdr:row>
      <xdr:rowOff>76805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B7890821-E214-4FC2-8DAF-0EF1C7EBF611}"/>
            </a:ext>
          </a:extLst>
        </xdr:cNvPr>
        <xdr:cNvCxnSpPr/>
      </xdr:nvCxnSpPr>
      <xdr:spPr>
        <a:xfrm>
          <a:off x="13279756" y="2595548"/>
          <a:ext cx="6706" cy="2371531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362523</xdr:colOff>
      <xdr:row>12</xdr:row>
      <xdr:rowOff>152613</xdr:rowOff>
    </xdr:from>
    <xdr:to>
      <xdr:col>4</xdr:col>
      <xdr:colOff>362594</xdr:colOff>
      <xdr:row>24</xdr:row>
      <xdr:rowOff>55695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8375C97-166E-4787-BDE6-EC8B940B6BF0}"/>
            </a:ext>
          </a:extLst>
        </xdr:cNvPr>
        <xdr:cNvCxnSpPr/>
      </xdr:nvCxnSpPr>
      <xdr:spPr>
        <a:xfrm>
          <a:off x="5926517" y="2603558"/>
          <a:ext cx="71" cy="2342411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</xdr:colOff>
      <xdr:row>1</xdr:row>
      <xdr:rowOff>101974</xdr:rowOff>
    </xdr:from>
    <xdr:to>
      <xdr:col>13</xdr:col>
      <xdr:colOff>604</xdr:colOff>
      <xdr:row>35</xdr:row>
      <xdr:rowOff>179293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40AE83A0-0C2D-49B1-99AD-E4B5D3B5CADE}"/>
            </a:ext>
          </a:extLst>
        </xdr:cNvPr>
        <xdr:cNvCxnSpPr/>
      </xdr:nvCxnSpPr>
      <xdr:spPr>
        <a:xfrm>
          <a:off x="18864750" y="392370"/>
          <a:ext cx="0" cy="7465002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171850</xdr:colOff>
      <xdr:row>1</xdr:row>
      <xdr:rowOff>90769</xdr:rowOff>
    </xdr:from>
    <xdr:to>
      <xdr:col>0</xdr:col>
      <xdr:colOff>171850</xdr:colOff>
      <xdr:row>36</xdr:row>
      <xdr:rowOff>5727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E9DDD8AF-250C-4C91-ACC7-E4EEE546FF7B}"/>
            </a:ext>
          </a:extLst>
        </xdr:cNvPr>
        <xdr:cNvCxnSpPr/>
      </xdr:nvCxnSpPr>
      <xdr:spPr>
        <a:xfrm>
          <a:off x="171850" y="382122"/>
          <a:ext cx="0" cy="7445311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ity\Downloads\Dashboard%20V2%20Edit%20(1).xlsm" TargetMode="External"/><Relationship Id="rId1" Type="http://schemas.openxmlformats.org/officeDocument/2006/relationships/externalLinkPath" Target="Dashboard%20V2%20Edit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Data"/>
    </sheetNames>
    <sheetDataSet>
      <sheetData sheetId="0"/>
      <sheetData sheetId="1">
        <row r="27">
          <cell r="O27" t="str">
            <v>Individual Project Sum</v>
          </cell>
          <cell r="P27" t="str">
            <v>Integrated Supply Chain Profit</v>
          </cell>
          <cell r="Q27" t="str">
            <v>Coordination Benefit</v>
          </cell>
        </row>
        <row r="28">
          <cell r="AG28">
            <v>100</v>
          </cell>
          <cell r="AH28">
            <v>612.66152004690969</v>
          </cell>
          <cell r="AI28">
            <v>1105.2350000000022</v>
          </cell>
        </row>
        <row r="29">
          <cell r="N29">
            <v>0.1</v>
          </cell>
          <cell r="O29">
            <v>410144.60366502823</v>
          </cell>
          <cell r="P29">
            <v>495000.00000000081</v>
          </cell>
          <cell r="Q29">
            <v>84855.396334972582</v>
          </cell>
          <cell r="AG29">
            <v>200</v>
          </cell>
          <cell r="AH29">
            <v>614.59743871042031</v>
          </cell>
          <cell r="AI29">
            <v>1105.2350000000022</v>
          </cell>
        </row>
        <row r="30">
          <cell r="N30">
            <v>0.2</v>
          </cell>
          <cell r="O30">
            <v>410699.0639812845</v>
          </cell>
          <cell r="P30">
            <v>495000.00000000081</v>
          </cell>
          <cell r="Q30">
            <v>84300.936018716311</v>
          </cell>
          <cell r="AG30">
            <v>300</v>
          </cell>
          <cell r="AH30">
            <v>616.53335737393081</v>
          </cell>
          <cell r="AI30">
            <v>1105.2350000000022</v>
          </cell>
        </row>
        <row r="31">
          <cell r="N31">
            <v>0.3</v>
          </cell>
          <cell r="O31">
            <v>414940.11394219135</v>
          </cell>
          <cell r="P31">
            <v>495000.00000000081</v>
          </cell>
          <cell r="Q31">
            <v>80059.886057809461</v>
          </cell>
          <cell r="AG31">
            <v>400</v>
          </cell>
          <cell r="AH31">
            <v>618.46927603744132</v>
          </cell>
          <cell r="AI31">
            <v>1105.2350000000022</v>
          </cell>
        </row>
        <row r="32">
          <cell r="N32">
            <v>0.4</v>
          </cell>
          <cell r="O32">
            <v>427075.73107591365</v>
          </cell>
          <cell r="P32">
            <v>495000.00000000081</v>
          </cell>
          <cell r="Q32">
            <v>67924.26892408717</v>
          </cell>
          <cell r="AG32">
            <v>500</v>
          </cell>
          <cell r="AH32">
            <v>620.40519470095194</v>
          </cell>
          <cell r="AI32">
            <v>1105.2350000000022</v>
          </cell>
        </row>
        <row r="33">
          <cell r="N33">
            <v>0.5</v>
          </cell>
          <cell r="O33">
            <v>445096.63285491336</v>
          </cell>
          <cell r="P33">
            <v>495000.00000000081</v>
          </cell>
          <cell r="Q33">
            <v>49903.367145087454</v>
          </cell>
          <cell r="AG33">
            <v>600</v>
          </cell>
          <cell r="AH33">
            <v>622.34111336446256</v>
          </cell>
          <cell r="AI33">
            <v>1105.2350000000022</v>
          </cell>
        </row>
        <row r="34">
          <cell r="N34">
            <v>0.6</v>
          </cell>
          <cell r="O34">
            <v>466655.804422174</v>
          </cell>
          <cell r="P34">
            <v>495000.00000000081</v>
          </cell>
          <cell r="Q34">
            <v>28344.195577826817</v>
          </cell>
          <cell r="AG34">
            <v>700</v>
          </cell>
          <cell r="AH34">
            <v>624.27703202797306</v>
          </cell>
          <cell r="AI34">
            <v>1105.2350000000022</v>
          </cell>
        </row>
        <row r="35">
          <cell r="N35">
            <v>0.7</v>
          </cell>
          <cell r="O35">
            <v>490306.52305229264</v>
          </cell>
          <cell r="P35">
            <v>495000.00000000081</v>
          </cell>
          <cell r="Q35">
            <v>4693.4769477081718</v>
          </cell>
          <cell r="AG35">
            <v>800</v>
          </cell>
          <cell r="AH35">
            <v>626.21295069148357</v>
          </cell>
          <cell r="AI35">
            <v>1105.2350000000022</v>
          </cell>
        </row>
        <row r="36">
          <cell r="N36">
            <v>0.8</v>
          </cell>
          <cell r="O36">
            <v>515232.51374038256</v>
          </cell>
          <cell r="P36">
            <v>495000.00000000081</v>
          </cell>
          <cell r="Q36">
            <v>-20232.51374038175</v>
          </cell>
          <cell r="AG36">
            <v>900</v>
          </cell>
          <cell r="AH36">
            <v>628.14886935499408</v>
          </cell>
          <cell r="AI36">
            <v>1105.2350000000022</v>
          </cell>
        </row>
        <row r="37">
          <cell r="N37">
            <v>0.9</v>
          </cell>
          <cell r="O37">
            <v>540968.52170798159</v>
          </cell>
          <cell r="P37">
            <v>495000.00000000081</v>
          </cell>
          <cell r="Q37">
            <v>-45968.521707980777</v>
          </cell>
          <cell r="AG37">
            <v>1000</v>
          </cell>
          <cell r="AH37">
            <v>630.0847880185047</v>
          </cell>
          <cell r="AI37">
            <v>1105.2350000000022</v>
          </cell>
        </row>
        <row r="38">
          <cell r="N38">
            <v>1</v>
          </cell>
          <cell r="O38">
            <v>567240.00096601294</v>
          </cell>
          <cell r="P38">
            <v>495000.00000000081</v>
          </cell>
          <cell r="Q38">
            <v>-72240.000966012129</v>
          </cell>
          <cell r="AG38">
            <v>1100</v>
          </cell>
          <cell r="AH38">
            <v>632.0207066820152</v>
          </cell>
          <cell r="AI38">
            <v>1105.2350000000022</v>
          </cell>
        </row>
        <row r="39">
          <cell r="N39">
            <v>1.1000000000000001</v>
          </cell>
          <cell r="O39">
            <v>593878.46153184911</v>
          </cell>
          <cell r="P39">
            <v>495000.00000000081</v>
          </cell>
          <cell r="Q39">
            <v>-98878.461531848297</v>
          </cell>
          <cell r="AG39">
            <v>1200</v>
          </cell>
          <cell r="AH39">
            <v>633.95662534552582</v>
          </cell>
          <cell r="AI39">
            <v>1105.2350000000022</v>
          </cell>
        </row>
        <row r="40">
          <cell r="N40">
            <v>1.2</v>
          </cell>
          <cell r="O40">
            <v>620776.53776788851</v>
          </cell>
          <cell r="P40">
            <v>495000.00000000081</v>
          </cell>
          <cell r="Q40">
            <v>-125776.5377678877</v>
          </cell>
          <cell r="AG40">
            <v>1300</v>
          </cell>
          <cell r="AH40">
            <v>635.89254400903621</v>
          </cell>
          <cell r="AI40">
            <v>1105.2350000000022</v>
          </cell>
        </row>
        <row r="41">
          <cell r="N41">
            <v>1.3</v>
          </cell>
          <cell r="O41">
            <v>647863.43262496952</v>
          </cell>
          <cell r="P41">
            <v>495000.00000000081</v>
          </cell>
          <cell r="Q41">
            <v>-152863.4326249687</v>
          </cell>
          <cell r="AG41">
            <v>1400</v>
          </cell>
          <cell r="AH41">
            <v>637.82846267254683</v>
          </cell>
          <cell r="AI41">
            <v>1105.2350000000022</v>
          </cell>
        </row>
        <row r="42">
          <cell r="N42">
            <v>1.4</v>
          </cell>
          <cell r="O42">
            <v>675091.01482761151</v>
          </cell>
          <cell r="P42">
            <v>495000.00000000081</v>
          </cell>
          <cell r="Q42">
            <v>-180091.01482761069</v>
          </cell>
          <cell r="AG42">
            <v>1500</v>
          </cell>
          <cell r="AH42">
            <v>639.76438133605745</v>
          </cell>
          <cell r="AI42">
            <v>1105.2350000000022</v>
          </cell>
        </row>
        <row r="43">
          <cell r="N43">
            <v>1.5</v>
          </cell>
          <cell r="O43">
            <v>702425.66382859834</v>
          </cell>
          <cell r="P43">
            <v>495000.00000000081</v>
          </cell>
          <cell r="Q43">
            <v>-207425.66382859752</v>
          </cell>
          <cell r="AG43">
            <v>1600</v>
          </cell>
          <cell r="AH43">
            <v>641.70029999956796</v>
          </cell>
          <cell r="AI43">
            <v>1105.2350000000022</v>
          </cell>
        </row>
        <row r="44">
          <cell r="N44">
            <v>1.6</v>
          </cell>
          <cell r="O44">
            <v>729843.32410940831</v>
          </cell>
          <cell r="P44">
            <v>495000.00000000081</v>
          </cell>
          <cell r="Q44">
            <v>-234843.32410940749</v>
          </cell>
          <cell r="AG44">
            <v>1700</v>
          </cell>
          <cell r="AH44">
            <v>643.63621866307847</v>
          </cell>
          <cell r="AI44">
            <v>1105.2350000000022</v>
          </cell>
        </row>
        <row r="45">
          <cell r="N45">
            <v>1.7</v>
          </cell>
          <cell r="O45">
            <v>757326.41254409682</v>
          </cell>
          <cell r="P45">
            <v>495000.00000000081</v>
          </cell>
          <cell r="Q45">
            <v>-262326.41254409601</v>
          </cell>
          <cell r="AG45">
            <v>1800</v>
          </cell>
          <cell r="AH45">
            <v>645.57213732658909</v>
          </cell>
          <cell r="AI45">
            <v>1105.2350000000022</v>
          </cell>
        </row>
        <row r="46">
          <cell r="N46">
            <v>1.8</v>
          </cell>
          <cell r="O46">
            <v>784861.82991060172</v>
          </cell>
          <cell r="P46">
            <v>495000.00000000081</v>
          </cell>
          <cell r="Q46">
            <v>-289861.82991060091</v>
          </cell>
          <cell r="AG46">
            <v>1900</v>
          </cell>
          <cell r="AH46">
            <v>647.50805599009959</v>
          </cell>
          <cell r="AI46">
            <v>1105.2350000000022</v>
          </cell>
        </row>
        <row r="47">
          <cell r="N47">
            <v>1.9</v>
          </cell>
          <cell r="O47">
            <v>812439.64967538277</v>
          </cell>
          <cell r="P47">
            <v>495000.00000000081</v>
          </cell>
          <cell r="Q47">
            <v>-317439.64967538195</v>
          </cell>
          <cell r="AG47">
            <v>2000</v>
          </cell>
          <cell r="AH47">
            <v>649.4439746536101</v>
          </cell>
          <cell r="AI47">
            <v>1105.2350000000022</v>
          </cell>
        </row>
        <row r="48">
          <cell r="N48">
            <v>2</v>
          </cell>
          <cell r="O48">
            <v>840052.23339010589</v>
          </cell>
          <cell r="P48">
            <v>495000.00000000081</v>
          </cell>
          <cell r="Q48">
            <v>-345052.23339010507</v>
          </cell>
          <cell r="AG48">
            <v>2100</v>
          </cell>
          <cell r="AH48">
            <v>651.37989331712072</v>
          </cell>
          <cell r="AI48">
            <v>1105.2350000000022</v>
          </cell>
        </row>
        <row r="49">
          <cell r="AG49">
            <v>2200</v>
          </cell>
          <cell r="AH49">
            <v>653.31581198063122</v>
          </cell>
          <cell r="AI49">
            <v>1105.2350000000022</v>
          </cell>
        </row>
        <row r="50">
          <cell r="AG50">
            <v>2300</v>
          </cell>
          <cell r="AH50">
            <v>655.25173064414184</v>
          </cell>
          <cell r="AI50">
            <v>1105.2350000000022</v>
          </cell>
        </row>
        <row r="51">
          <cell r="AG51">
            <v>2400</v>
          </cell>
          <cell r="AH51">
            <v>657.18764930765224</v>
          </cell>
          <cell r="AI51">
            <v>1105.2350000000022</v>
          </cell>
        </row>
        <row r="52">
          <cell r="AG52">
            <v>2500</v>
          </cell>
          <cell r="AH52">
            <v>659.12356797116286</v>
          </cell>
          <cell r="AI52">
            <v>1105.2350000000022</v>
          </cell>
        </row>
        <row r="53">
          <cell r="AG53">
            <v>2600</v>
          </cell>
          <cell r="AH53">
            <v>661.05948663467348</v>
          </cell>
          <cell r="AI53">
            <v>1105.2350000000022</v>
          </cell>
        </row>
        <row r="54">
          <cell r="AG54">
            <v>2700</v>
          </cell>
          <cell r="AH54">
            <v>662.99540529818387</v>
          </cell>
          <cell r="AI54">
            <v>1105.2350000000022</v>
          </cell>
        </row>
        <row r="55">
          <cell r="AG55">
            <v>2800</v>
          </cell>
          <cell r="AH55">
            <v>664.93132396169449</v>
          </cell>
          <cell r="AI55">
            <v>1105.2350000000022</v>
          </cell>
        </row>
        <row r="56">
          <cell r="AG56">
            <v>2900</v>
          </cell>
          <cell r="AH56">
            <v>666.86724262520511</v>
          </cell>
          <cell r="AI56">
            <v>1105.2350000000022</v>
          </cell>
        </row>
        <row r="57">
          <cell r="AG57">
            <v>3000</v>
          </cell>
          <cell r="AH57">
            <v>668.8031612887155</v>
          </cell>
          <cell r="AI57">
            <v>1105.2350000000022</v>
          </cell>
        </row>
        <row r="58">
          <cell r="AG58">
            <v>3100</v>
          </cell>
          <cell r="AH58">
            <v>670.73907995222612</v>
          </cell>
          <cell r="AI58">
            <v>1105.2350000000022</v>
          </cell>
        </row>
        <row r="59">
          <cell r="AG59">
            <v>3200</v>
          </cell>
          <cell r="AH59">
            <v>672.67499861573674</v>
          </cell>
          <cell r="AI59">
            <v>1105.2350000000022</v>
          </cell>
        </row>
        <row r="60">
          <cell r="AG60">
            <v>3300</v>
          </cell>
          <cell r="AH60">
            <v>674.61091727924725</v>
          </cell>
          <cell r="AI60">
            <v>1105.2350000000022</v>
          </cell>
        </row>
        <row r="61">
          <cell r="AG61">
            <v>3400</v>
          </cell>
          <cell r="AH61">
            <v>676.54683594275775</v>
          </cell>
          <cell r="AI61">
            <v>1105.2350000000022</v>
          </cell>
        </row>
        <row r="62">
          <cell r="AG62">
            <v>3500</v>
          </cell>
          <cell r="AH62">
            <v>678.48275460626837</v>
          </cell>
          <cell r="AI62">
            <v>1105.2350000000022</v>
          </cell>
        </row>
        <row r="63">
          <cell r="AG63">
            <v>3600</v>
          </cell>
          <cell r="AH63">
            <v>680.41867326977888</v>
          </cell>
          <cell r="AI63">
            <v>1105.2350000000022</v>
          </cell>
        </row>
        <row r="64">
          <cell r="AG64">
            <v>3700</v>
          </cell>
          <cell r="AH64">
            <v>682.35459193328938</v>
          </cell>
          <cell r="AI64">
            <v>1105.2350000000022</v>
          </cell>
        </row>
        <row r="65">
          <cell r="AG65">
            <v>3800</v>
          </cell>
          <cell r="AH65">
            <v>684.29051059679989</v>
          </cell>
          <cell r="AI65">
            <v>1105.2350000000022</v>
          </cell>
        </row>
        <row r="66">
          <cell r="AG66">
            <v>3900</v>
          </cell>
          <cell r="AH66">
            <v>686.22642926031051</v>
          </cell>
          <cell r="AI66">
            <v>1105.2350000000022</v>
          </cell>
        </row>
        <row r="67">
          <cell r="AG67">
            <v>4000</v>
          </cell>
          <cell r="AH67">
            <v>688.16234792382102</v>
          </cell>
          <cell r="AI67">
            <v>1105.2350000000022</v>
          </cell>
        </row>
        <row r="68">
          <cell r="AG68">
            <v>4100</v>
          </cell>
          <cell r="AH68">
            <v>690.09826658733152</v>
          </cell>
          <cell r="AI68">
            <v>1105.2350000000022</v>
          </cell>
        </row>
        <row r="69">
          <cell r="AG69">
            <v>4200</v>
          </cell>
          <cell r="AH69">
            <v>692.03418525084214</v>
          </cell>
          <cell r="AI69">
            <v>1105.2350000000022</v>
          </cell>
        </row>
        <row r="70">
          <cell r="AG70">
            <v>4300</v>
          </cell>
          <cell r="AH70">
            <v>693.97010391435276</v>
          </cell>
          <cell r="AI70">
            <v>1105.2350000000022</v>
          </cell>
        </row>
        <row r="71">
          <cell r="AG71">
            <v>4400</v>
          </cell>
          <cell r="AH71">
            <v>695.90602257786327</v>
          </cell>
          <cell r="AI71">
            <v>1105.2350000000022</v>
          </cell>
        </row>
        <row r="72">
          <cell r="AG72">
            <v>4500</v>
          </cell>
          <cell r="AH72">
            <v>697.84194124137377</v>
          </cell>
          <cell r="AI72">
            <v>1105.2350000000022</v>
          </cell>
        </row>
        <row r="73">
          <cell r="AG73">
            <v>4600</v>
          </cell>
          <cell r="AH73">
            <v>699.77785990488439</v>
          </cell>
          <cell r="AI73">
            <v>1105.2350000000022</v>
          </cell>
        </row>
        <row r="74">
          <cell r="AG74">
            <v>4700</v>
          </cell>
          <cell r="AH74">
            <v>701.7137785683949</v>
          </cell>
          <cell r="AI74">
            <v>1105.2350000000022</v>
          </cell>
        </row>
        <row r="75">
          <cell r="AG75">
            <v>4800</v>
          </cell>
          <cell r="AH75">
            <v>703.64969723190541</v>
          </cell>
          <cell r="AI75">
            <v>1105.2350000000022</v>
          </cell>
        </row>
        <row r="76">
          <cell r="AG76">
            <v>4900</v>
          </cell>
          <cell r="AH76">
            <v>705.58561589541591</v>
          </cell>
          <cell r="AI76">
            <v>1105.2350000000022</v>
          </cell>
        </row>
        <row r="77">
          <cell r="AG77">
            <v>5000</v>
          </cell>
          <cell r="AH77">
            <v>707.52153455892665</v>
          </cell>
          <cell r="AI77">
            <v>1105.2350000000022</v>
          </cell>
        </row>
        <row r="78">
          <cell r="AG78">
            <v>5100</v>
          </cell>
          <cell r="AH78">
            <v>709.45745322243704</v>
          </cell>
          <cell r="AI78">
            <v>1105.2350000000022</v>
          </cell>
        </row>
        <row r="79">
          <cell r="AG79">
            <v>5200</v>
          </cell>
          <cell r="AH79">
            <v>711.39337188594754</v>
          </cell>
          <cell r="AI79">
            <v>1105.2350000000022</v>
          </cell>
        </row>
        <row r="80">
          <cell r="AG80">
            <v>5300</v>
          </cell>
          <cell r="AH80">
            <v>713.32929054945816</v>
          </cell>
          <cell r="AI80">
            <v>1105.2350000000022</v>
          </cell>
        </row>
        <row r="81">
          <cell r="AG81">
            <v>5400</v>
          </cell>
          <cell r="AH81">
            <v>715.26520921296867</v>
          </cell>
          <cell r="AI81">
            <v>1105.2350000000022</v>
          </cell>
        </row>
        <row r="82">
          <cell r="AG82">
            <v>5500</v>
          </cell>
          <cell r="AH82">
            <v>717.20112787647918</v>
          </cell>
          <cell r="AI82">
            <v>1105.2350000000022</v>
          </cell>
        </row>
        <row r="83">
          <cell r="AG83">
            <v>5600</v>
          </cell>
          <cell r="AH83">
            <v>719.1370465399898</v>
          </cell>
          <cell r="AI83">
            <v>1105.2350000000022</v>
          </cell>
        </row>
        <row r="84">
          <cell r="AG84">
            <v>5700</v>
          </cell>
          <cell r="AH84">
            <v>721.0729652035003</v>
          </cell>
          <cell r="AI84">
            <v>1105.2350000000022</v>
          </cell>
        </row>
        <row r="85">
          <cell r="AG85">
            <v>5800</v>
          </cell>
          <cell r="AH85">
            <v>723.00888386701092</v>
          </cell>
          <cell r="AI85">
            <v>1105.2350000000022</v>
          </cell>
        </row>
        <row r="86">
          <cell r="AG86">
            <v>5900</v>
          </cell>
          <cell r="AH86">
            <v>724.94480253052143</v>
          </cell>
          <cell r="AI86">
            <v>1105.2350000000022</v>
          </cell>
        </row>
        <row r="87">
          <cell r="AG87">
            <v>6000</v>
          </cell>
          <cell r="AH87">
            <v>726.88072119403205</v>
          </cell>
          <cell r="AI87">
            <v>1105.2350000000022</v>
          </cell>
        </row>
        <row r="88">
          <cell r="AG88">
            <v>6100</v>
          </cell>
          <cell r="AH88">
            <v>728.81663985754255</v>
          </cell>
          <cell r="AI88">
            <v>1105.2350000000022</v>
          </cell>
        </row>
        <row r="89">
          <cell r="AG89">
            <v>6200</v>
          </cell>
          <cell r="AH89">
            <v>730.75255852105306</v>
          </cell>
          <cell r="AI89">
            <v>1105.2350000000022</v>
          </cell>
        </row>
        <row r="90">
          <cell r="AG90">
            <v>6300</v>
          </cell>
          <cell r="AH90">
            <v>732.68847718456368</v>
          </cell>
          <cell r="AI90">
            <v>1105.2350000000022</v>
          </cell>
        </row>
        <row r="91">
          <cell r="AG91">
            <v>6400</v>
          </cell>
          <cell r="AH91">
            <v>734.62439584807419</v>
          </cell>
          <cell r="AI91">
            <v>1105.2350000000022</v>
          </cell>
        </row>
        <row r="92">
          <cell r="AG92">
            <v>6500</v>
          </cell>
          <cell r="AH92">
            <v>736.56031451158469</v>
          </cell>
          <cell r="AI92">
            <v>1105.2350000000022</v>
          </cell>
        </row>
        <row r="93">
          <cell r="AG93">
            <v>6600</v>
          </cell>
          <cell r="AH93">
            <v>738.49623317509531</v>
          </cell>
          <cell r="AI93">
            <v>1105.2350000000022</v>
          </cell>
        </row>
        <row r="94">
          <cell r="AG94">
            <v>6700</v>
          </cell>
          <cell r="AH94">
            <v>740.43215183860571</v>
          </cell>
          <cell r="AI94">
            <v>1105.2350000000022</v>
          </cell>
        </row>
        <row r="95">
          <cell r="AG95">
            <v>6800</v>
          </cell>
          <cell r="AH95">
            <v>742.36807050211632</v>
          </cell>
          <cell r="AI95">
            <v>1105.2350000000022</v>
          </cell>
        </row>
        <row r="96">
          <cell r="AG96">
            <v>6900</v>
          </cell>
          <cell r="AH96">
            <v>744.30398916562694</v>
          </cell>
          <cell r="AI96">
            <v>1105.2350000000022</v>
          </cell>
        </row>
        <row r="97">
          <cell r="AG97">
            <v>7000</v>
          </cell>
          <cell r="AH97">
            <v>746.23990782913745</v>
          </cell>
          <cell r="AI97">
            <v>1105.2350000000022</v>
          </cell>
        </row>
        <row r="98">
          <cell r="AG98">
            <v>7100</v>
          </cell>
          <cell r="AH98">
            <v>748.17582649264796</v>
          </cell>
          <cell r="AI98">
            <v>1105.2350000000022</v>
          </cell>
        </row>
        <row r="99">
          <cell r="AG99">
            <v>7200</v>
          </cell>
          <cell r="AH99">
            <v>750.11174515615858</v>
          </cell>
          <cell r="AI99">
            <v>1105.2350000000022</v>
          </cell>
        </row>
        <row r="100">
          <cell r="AG100">
            <v>7300</v>
          </cell>
          <cell r="AH100">
            <v>752.0476638196692</v>
          </cell>
          <cell r="AI100">
            <v>1105.2350000000022</v>
          </cell>
        </row>
        <row r="101">
          <cell r="AG101">
            <v>7400</v>
          </cell>
          <cell r="AH101">
            <v>753.98358248317948</v>
          </cell>
          <cell r="AI101">
            <v>1105.2350000000022</v>
          </cell>
        </row>
        <row r="102">
          <cell r="AG102">
            <v>7500</v>
          </cell>
          <cell r="AH102">
            <v>755.91950114669021</v>
          </cell>
          <cell r="AI102">
            <v>1105.2350000000022</v>
          </cell>
        </row>
        <row r="103">
          <cell r="AG103">
            <v>7600</v>
          </cell>
          <cell r="AH103">
            <v>757.85541981020083</v>
          </cell>
          <cell r="AI103">
            <v>1105.2350000000022</v>
          </cell>
        </row>
        <row r="104">
          <cell r="AG104">
            <v>7700</v>
          </cell>
          <cell r="AH104">
            <v>759.79133847371111</v>
          </cell>
          <cell r="AI104">
            <v>1105.2350000000022</v>
          </cell>
        </row>
        <row r="105">
          <cell r="AG105">
            <v>7800</v>
          </cell>
          <cell r="AH105">
            <v>761.72725713722173</v>
          </cell>
          <cell r="AI105">
            <v>1105.2350000000022</v>
          </cell>
        </row>
        <row r="106">
          <cell r="AG106">
            <v>7900</v>
          </cell>
          <cell r="AH106">
            <v>763.66317580073246</v>
          </cell>
          <cell r="AI106">
            <v>1105.2350000000022</v>
          </cell>
        </row>
        <row r="107">
          <cell r="AG107">
            <v>8000</v>
          </cell>
          <cell r="AH107">
            <v>765.59909446424308</v>
          </cell>
          <cell r="AI107">
            <v>1105.2350000000022</v>
          </cell>
        </row>
        <row r="108">
          <cell r="AG108">
            <v>8100</v>
          </cell>
          <cell r="AH108">
            <v>767.53501312775336</v>
          </cell>
          <cell r="AI108">
            <v>1105.2350000000022</v>
          </cell>
        </row>
        <row r="109">
          <cell r="AG109">
            <v>8200</v>
          </cell>
          <cell r="AH109">
            <v>769.47093179126398</v>
          </cell>
          <cell r="AI109">
            <v>1105.2350000000022</v>
          </cell>
        </row>
        <row r="110">
          <cell r="AG110">
            <v>8300</v>
          </cell>
          <cell r="AH110">
            <v>771.40685045477471</v>
          </cell>
          <cell r="AI110">
            <v>1105.2350000000022</v>
          </cell>
        </row>
        <row r="111">
          <cell r="AG111">
            <v>8400</v>
          </cell>
          <cell r="AH111">
            <v>773.34276911828499</v>
          </cell>
          <cell r="AI111">
            <v>1105.2350000000022</v>
          </cell>
        </row>
        <row r="112">
          <cell r="AG112">
            <v>8500</v>
          </cell>
          <cell r="AH112">
            <v>775.27868778179561</v>
          </cell>
          <cell r="AI112">
            <v>1105.2350000000022</v>
          </cell>
        </row>
        <row r="113">
          <cell r="AG113">
            <v>8600</v>
          </cell>
          <cell r="AH113">
            <v>777.21460644530623</v>
          </cell>
          <cell r="AI113">
            <v>1105.2350000000022</v>
          </cell>
        </row>
        <row r="114">
          <cell r="AG114">
            <v>8700</v>
          </cell>
          <cell r="AH114">
            <v>779.15052510881674</v>
          </cell>
          <cell r="AI114">
            <v>1105.2350000000022</v>
          </cell>
        </row>
        <row r="115">
          <cell r="AG115">
            <v>8800</v>
          </cell>
          <cell r="AH115">
            <v>781.08644377232724</v>
          </cell>
          <cell r="AI115">
            <v>1105.2350000000022</v>
          </cell>
        </row>
        <row r="116">
          <cell r="AG116">
            <v>8900</v>
          </cell>
          <cell r="AH116">
            <v>783.02236243583786</v>
          </cell>
          <cell r="AI116">
            <v>1105.2350000000022</v>
          </cell>
        </row>
        <row r="117">
          <cell r="AG117">
            <v>9000</v>
          </cell>
          <cell r="AH117">
            <v>784.95828109934837</v>
          </cell>
          <cell r="AI117">
            <v>1105.2350000000022</v>
          </cell>
        </row>
        <row r="118">
          <cell r="AG118">
            <v>9100</v>
          </cell>
          <cell r="AH118">
            <v>786.89419976285888</v>
          </cell>
          <cell r="AI118">
            <v>1105.2350000000022</v>
          </cell>
        </row>
        <row r="119">
          <cell r="AG119">
            <v>9200</v>
          </cell>
          <cell r="AH119">
            <v>788.83011842636949</v>
          </cell>
          <cell r="AI119">
            <v>1105.2350000000022</v>
          </cell>
        </row>
        <row r="120">
          <cell r="AG120">
            <v>9300</v>
          </cell>
          <cell r="AH120">
            <v>790.76603708988</v>
          </cell>
          <cell r="AI120">
            <v>1105.2350000000022</v>
          </cell>
        </row>
        <row r="121">
          <cell r="AG121">
            <v>9400</v>
          </cell>
          <cell r="AH121">
            <v>792.70195575339051</v>
          </cell>
          <cell r="AI121">
            <v>1105.2350000000022</v>
          </cell>
        </row>
        <row r="122">
          <cell r="AG122">
            <v>9500</v>
          </cell>
          <cell r="AH122">
            <v>794.63787441690113</v>
          </cell>
          <cell r="AI122">
            <v>1105.2350000000022</v>
          </cell>
        </row>
        <row r="123">
          <cell r="AG123">
            <v>9600</v>
          </cell>
          <cell r="AH123">
            <v>796.57379308041163</v>
          </cell>
          <cell r="AI123">
            <v>1105.2350000000022</v>
          </cell>
        </row>
        <row r="124">
          <cell r="AG124">
            <v>9700</v>
          </cell>
          <cell r="AH124">
            <v>798.50971174392225</v>
          </cell>
          <cell r="AI124">
            <v>1105.2350000000022</v>
          </cell>
        </row>
        <row r="125">
          <cell r="AG125">
            <v>9800</v>
          </cell>
          <cell r="AH125">
            <v>800.44563040743276</v>
          </cell>
          <cell r="AI125">
            <v>1105.2350000000022</v>
          </cell>
        </row>
        <row r="126">
          <cell r="AG126">
            <v>9900</v>
          </cell>
          <cell r="AH126">
            <v>802.38154907094327</v>
          </cell>
          <cell r="AI126">
            <v>1105.2350000000022</v>
          </cell>
        </row>
        <row r="127">
          <cell r="AG127">
            <v>10000</v>
          </cell>
          <cell r="AH127">
            <v>804.31746773445388</v>
          </cell>
          <cell r="AI127">
            <v>1105.2350000000022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CA5AC-D07C-47F3-8D31-BA55950F7F43}">
  <sheetPr codeName="Sheet1"/>
  <dimension ref="A1:BXX159"/>
  <sheetViews>
    <sheetView showGridLines="0" showRowColHeaders="0" tabSelected="1" topLeftCell="A40" zoomScale="60" zoomScaleNormal="60" workbookViewId="0">
      <selection activeCell="G79" sqref="G79"/>
    </sheetView>
  </sheetViews>
  <sheetFormatPr defaultColWidth="0" defaultRowHeight="14.25" zeroHeight="1" x14ac:dyDescent="0.45"/>
  <cols>
    <col min="1" max="1" width="2.73046875" customWidth="1"/>
    <col min="2" max="2" width="43.73046875" customWidth="1"/>
    <col min="3" max="3" width="21.1328125" customWidth="1"/>
    <col min="4" max="4" width="9.796875" bestFit="1" customWidth="1"/>
    <col min="5" max="5" width="9.265625" customWidth="1"/>
    <col min="6" max="6" width="8.86328125" customWidth="1"/>
    <col min="7" max="7" width="52.86328125" customWidth="1"/>
    <col min="8" max="8" width="21" customWidth="1"/>
    <col min="9" max="11" width="8.86328125" customWidth="1"/>
    <col min="12" max="12" width="47.19921875" customWidth="1"/>
    <col min="13" max="13" width="21.19921875" customWidth="1"/>
    <col min="14" max="14" width="0.9296875" customWidth="1"/>
    <col min="15" max="1999" width="8.86328125" hidden="1" customWidth="1"/>
    <col min="2000" max="2000" width="3.19921875" customWidth="1"/>
    <col min="2001" max="16384" width="8.86328125" hidden="1"/>
  </cols>
  <sheetData>
    <row r="1" spans="2:14" ht="22.7" customHeight="1" x14ac:dyDescent="0.7">
      <c r="G1" s="66" t="s">
        <v>62</v>
      </c>
      <c r="H1" s="66"/>
      <c r="I1" s="31"/>
      <c r="M1" s="57"/>
    </row>
    <row r="2" spans="2:14" ht="8.4499999999999993" customHeight="1" x14ac:dyDescent="0.45"/>
    <row r="3" spans="2:14" ht="15.95" customHeight="1" x14ac:dyDescent="0.5">
      <c r="B3" s="16"/>
      <c r="C3" s="16"/>
      <c r="D3" s="16"/>
      <c r="E3" s="16"/>
      <c r="F3" s="16"/>
      <c r="G3" s="67" t="s">
        <v>65</v>
      </c>
      <c r="H3" s="67"/>
      <c r="I3" s="28"/>
      <c r="J3" s="16"/>
      <c r="K3" s="16"/>
      <c r="L3" s="16"/>
      <c r="M3" s="16"/>
      <c r="N3" s="29"/>
    </row>
    <row r="4" spans="2:14" ht="15.95" customHeight="1" x14ac:dyDescent="0.45">
      <c r="C4" s="58"/>
      <c r="I4" s="17"/>
    </row>
    <row r="5" spans="2:14" ht="15.95" customHeight="1" x14ac:dyDescent="0.5">
      <c r="B5" s="37" t="s">
        <v>105</v>
      </c>
      <c r="C5" s="48">
        <v>836879.43262411503</v>
      </c>
      <c r="D5" s="17">
        <f>IF(C5=Data!G22,Data!G23,IF(C5=Data!H22,Data!H23,C5))</f>
        <v>836879.43262411503</v>
      </c>
      <c r="E5" s="38"/>
      <c r="F5" s="38"/>
      <c r="G5" s="37" t="s">
        <v>90</v>
      </c>
      <c r="H5" s="51">
        <v>1</v>
      </c>
      <c r="I5" s="39"/>
      <c r="J5" s="39"/>
      <c r="K5" s="39"/>
      <c r="L5" s="37" t="s">
        <v>94</v>
      </c>
      <c r="M5" s="54">
        <v>4801652</v>
      </c>
    </row>
    <row r="6" spans="2:14" ht="15.95" customHeight="1" x14ac:dyDescent="0.5">
      <c r="B6" s="37" t="s">
        <v>89</v>
      </c>
      <c r="C6" s="49">
        <v>0.1</v>
      </c>
      <c r="D6" s="38"/>
      <c r="E6" s="38"/>
      <c r="F6" s="38"/>
      <c r="G6" s="37" t="s">
        <v>93</v>
      </c>
      <c r="H6" s="52">
        <v>0.1618</v>
      </c>
      <c r="I6" s="39"/>
      <c r="J6" s="39"/>
      <c r="K6" s="39"/>
      <c r="L6" s="37" t="s">
        <v>95</v>
      </c>
      <c r="M6" s="54">
        <v>237202</v>
      </c>
    </row>
    <row r="7" spans="2:14" ht="15.95" customHeight="1" x14ac:dyDescent="0.5">
      <c r="B7" s="37" t="s">
        <v>92</v>
      </c>
      <c r="C7" s="42">
        <f>IF(C5=Data!G22,Data!G23*C6,IF(C5=Data!H22,Data!H23*C6,C5*C6))</f>
        <v>83687.943262411514</v>
      </c>
      <c r="D7" s="38"/>
      <c r="E7" s="38"/>
      <c r="F7" s="38"/>
      <c r="G7" s="37" t="s">
        <v>91</v>
      </c>
      <c r="H7" s="52">
        <v>22.104700000000001</v>
      </c>
      <c r="I7" s="39"/>
      <c r="J7" s="39"/>
      <c r="K7" s="39"/>
      <c r="L7" s="37" t="s">
        <v>96</v>
      </c>
      <c r="M7" s="54">
        <v>3200626</v>
      </c>
    </row>
    <row r="8" spans="2:14" ht="15.95" customHeight="1" x14ac:dyDescent="0.5">
      <c r="B8" s="37" t="s">
        <v>70</v>
      </c>
      <c r="C8" s="50">
        <v>3000</v>
      </c>
      <c r="D8" s="38"/>
      <c r="E8" s="38"/>
      <c r="F8" s="38"/>
      <c r="G8" s="37" t="s">
        <v>98</v>
      </c>
      <c r="H8" s="53">
        <v>40.700000000000003</v>
      </c>
      <c r="I8" s="39"/>
      <c r="J8" s="39"/>
      <c r="K8" s="39"/>
      <c r="L8" s="37" t="s">
        <v>97</v>
      </c>
      <c r="M8" s="54">
        <v>1128000</v>
      </c>
    </row>
    <row r="9" spans="2:14" ht="15.95" customHeight="1" x14ac:dyDescent="0.45"/>
    <row r="10" spans="2:14" ht="21.5" customHeight="1" x14ac:dyDescent="0.7">
      <c r="B10" s="45" t="s">
        <v>140</v>
      </c>
      <c r="C10" s="32">
        <f>(IF(C5=Data!G22,Data!G26,IF(C5=Data!H22,Data!H26,Data!I26)))*1000000*C6</f>
        <v>79333.333333333489</v>
      </c>
      <c r="G10" s="45" t="s">
        <v>71</v>
      </c>
      <c r="H10" s="32">
        <f>(IF(C5=Data!G22,Data!G27,IF(C5=Data!H22,Data!H27,Data!I27)))*1000000*C6</f>
        <v>528888.88888888981</v>
      </c>
      <c r="L10" s="45" t="s">
        <v>66</v>
      </c>
      <c r="M10" s="33">
        <f>Data!C22</f>
        <v>0.35891155703204991</v>
      </c>
    </row>
    <row r="11" spans="2:14" ht="15.95" customHeight="1" x14ac:dyDescent="0.45"/>
    <row r="12" spans="2:14" ht="16.7" customHeight="1" x14ac:dyDescent="0.45"/>
    <row r="13" spans="2:14" ht="15.75" x14ac:dyDescent="0.5">
      <c r="B13" s="16"/>
      <c r="C13" s="44" t="s">
        <v>0</v>
      </c>
      <c r="D13" s="16"/>
      <c r="E13" s="16"/>
      <c r="F13" s="16"/>
      <c r="G13" s="67" t="s">
        <v>1</v>
      </c>
      <c r="H13" s="67"/>
      <c r="I13" s="28"/>
      <c r="J13" s="16"/>
      <c r="K13" s="16"/>
      <c r="L13" s="43" t="s">
        <v>36</v>
      </c>
      <c r="M13" s="28"/>
      <c r="N13" s="30"/>
    </row>
    <row r="14" spans="2:14" x14ac:dyDescent="0.45">
      <c r="C14" s="17"/>
      <c r="I14" s="17"/>
      <c r="N14" s="17"/>
    </row>
    <row r="15" spans="2:14" ht="15.75" x14ac:dyDescent="0.5">
      <c r="B15" s="40" t="s">
        <v>99</v>
      </c>
      <c r="C15" s="55">
        <v>3.8</v>
      </c>
      <c r="D15" s="41"/>
      <c r="E15" s="41"/>
      <c r="F15" s="41"/>
      <c r="G15" s="40" t="s">
        <v>132</v>
      </c>
      <c r="H15" s="55">
        <f>Data!I4</f>
        <v>20</v>
      </c>
      <c r="I15" s="41"/>
      <c r="J15" s="41"/>
      <c r="K15" s="41"/>
      <c r="L15" s="40" t="s">
        <v>102</v>
      </c>
      <c r="M15" s="55">
        <f>Data!I7</f>
        <v>26</v>
      </c>
    </row>
    <row r="16" spans="2:14" ht="15.75" x14ac:dyDescent="0.5">
      <c r="B16" s="40" t="s">
        <v>100</v>
      </c>
      <c r="C16" s="55">
        <v>14</v>
      </c>
      <c r="D16" s="41"/>
      <c r="E16" s="41"/>
      <c r="F16" s="41"/>
      <c r="G16" s="40" t="s">
        <v>101</v>
      </c>
      <c r="H16" s="55">
        <f>Data!H9</f>
        <v>2.7</v>
      </c>
      <c r="I16" s="41"/>
      <c r="J16" s="41"/>
      <c r="K16" s="41"/>
      <c r="L16" s="40" t="s">
        <v>103</v>
      </c>
      <c r="M16" s="55">
        <f>Data!H15</f>
        <v>9.6</v>
      </c>
    </row>
    <row r="17" spans="2:14" ht="15.75" x14ac:dyDescent="0.5">
      <c r="B17" s="40" t="s">
        <v>122</v>
      </c>
      <c r="C17" s="55">
        <f>Data!D5</f>
        <v>16.66667</v>
      </c>
      <c r="D17" s="41"/>
      <c r="E17" s="41"/>
      <c r="F17" s="41"/>
      <c r="G17" s="40" t="s">
        <v>134</v>
      </c>
      <c r="H17" s="55">
        <f>Data!H7</f>
        <v>21.666699999999999</v>
      </c>
      <c r="I17" s="41"/>
      <c r="J17" s="41"/>
      <c r="K17" s="41"/>
      <c r="L17" s="40" t="s">
        <v>106</v>
      </c>
      <c r="M17" s="55">
        <f>Data!H14</f>
        <v>40</v>
      </c>
    </row>
    <row r="18" spans="2:14" ht="15.75" x14ac:dyDescent="0.5">
      <c r="B18" s="40" t="s">
        <v>139</v>
      </c>
      <c r="C18" s="56">
        <f>Data!D6</f>
        <v>8.24</v>
      </c>
      <c r="D18" s="41"/>
      <c r="E18" s="41"/>
      <c r="F18" s="41"/>
      <c r="G18" s="40" t="s">
        <v>133</v>
      </c>
      <c r="H18" s="55">
        <f>Data!H8</f>
        <v>7.1749999999999998</v>
      </c>
      <c r="I18" s="41"/>
      <c r="J18" s="41"/>
      <c r="K18" s="41"/>
      <c r="L18" s="41"/>
      <c r="M18" s="41"/>
    </row>
    <row r="19" spans="2:14" ht="15.75" x14ac:dyDescent="0.5">
      <c r="B19" s="38"/>
      <c r="G19" s="40" t="s">
        <v>135</v>
      </c>
      <c r="H19" s="55">
        <f>Data!I5</f>
        <v>9.4</v>
      </c>
    </row>
    <row r="20" spans="2:14" ht="23.25" x14ac:dyDescent="0.7">
      <c r="B20" s="45" t="s">
        <v>107</v>
      </c>
      <c r="C20" s="34">
        <f>Data!R5</f>
        <v>97208.819740710605</v>
      </c>
      <c r="G20" s="45" t="s">
        <v>63</v>
      </c>
      <c r="H20" s="34">
        <f>Data!R6</f>
        <v>222848.48428947589</v>
      </c>
      <c r="L20" s="45" t="s">
        <v>64</v>
      </c>
      <c r="M20" s="34">
        <f>Data!R7</f>
        <v>428990.27096669137</v>
      </c>
    </row>
    <row r="21" spans="2:14" ht="15.4" customHeight="1" x14ac:dyDescent="0.45">
      <c r="N21" s="25"/>
    </row>
    <row r="22" spans="2:14" ht="22.7" customHeight="1" x14ac:dyDescent="0.7">
      <c r="B22" s="45" t="s">
        <v>114</v>
      </c>
      <c r="C22" s="35">
        <f>Data!T5</f>
        <v>-89910.846666666912</v>
      </c>
      <c r="G22" s="45" t="s">
        <v>112</v>
      </c>
      <c r="H22" s="35">
        <f>Data!T6</f>
        <v>-81975.133333333608</v>
      </c>
      <c r="L22" s="45" t="s">
        <v>113</v>
      </c>
      <c r="M22" s="35">
        <f>Data!T7</f>
        <v>349066.66666666721</v>
      </c>
    </row>
    <row r="23" spans="2:14" x14ac:dyDescent="0.45"/>
    <row r="24" spans="2:14" x14ac:dyDescent="0.45"/>
    <row r="25" spans="2:14" ht="15.75" x14ac:dyDescent="0.5">
      <c r="B25" s="16"/>
      <c r="C25" s="16"/>
      <c r="D25" s="16"/>
      <c r="E25" s="16"/>
      <c r="F25" s="16"/>
      <c r="G25" s="67" t="s">
        <v>67</v>
      </c>
      <c r="H25" s="67"/>
      <c r="I25" s="28"/>
      <c r="J25" s="16"/>
      <c r="K25" s="16"/>
      <c r="L25" s="16"/>
      <c r="M25" s="16"/>
      <c r="N25" s="29"/>
    </row>
    <row r="26" spans="2:14" x14ac:dyDescent="0.45"/>
    <row r="27" spans="2:14" ht="23.25" x14ac:dyDescent="0.7">
      <c r="B27" s="45" t="s">
        <v>124</v>
      </c>
      <c r="C27" s="34" t="s">
        <v>124</v>
      </c>
      <c r="G27" s="45" t="s">
        <v>33</v>
      </c>
      <c r="H27" s="34">
        <f>Data!P10</f>
        <v>785400.0000000014</v>
      </c>
      <c r="L27" s="45" t="s">
        <v>115</v>
      </c>
      <c r="M27" s="59">
        <f>Data!C26</f>
        <v>1753.6395333333369</v>
      </c>
    </row>
    <row r="28" spans="2:14" ht="23.25" x14ac:dyDescent="0.7">
      <c r="B28" s="45"/>
      <c r="C28" s="35"/>
      <c r="G28" s="45"/>
      <c r="H28" s="34"/>
      <c r="L28" s="45"/>
      <c r="M28" s="36"/>
    </row>
    <row r="29" spans="2:14" ht="23.25" x14ac:dyDescent="0.7">
      <c r="B29" s="45"/>
      <c r="C29" s="35"/>
      <c r="G29" s="45"/>
      <c r="H29" s="34"/>
      <c r="L29" s="45"/>
      <c r="M29" s="36"/>
    </row>
    <row r="30" spans="2:14" ht="23.25" x14ac:dyDescent="0.7">
      <c r="B30" s="45" t="s">
        <v>124</v>
      </c>
      <c r="C30" s="34" t="s">
        <v>124</v>
      </c>
      <c r="G30" s="45" t="s">
        <v>68</v>
      </c>
      <c r="H30" s="34">
        <f>Data!O10</f>
        <v>749047.57499687793</v>
      </c>
      <c r="L30" s="45" t="s">
        <v>116</v>
      </c>
      <c r="M30" s="59">
        <f>Data!C35</f>
        <v>1061.0640832373822</v>
      </c>
    </row>
    <row r="31" spans="2:14" ht="23.25" x14ac:dyDescent="0.7">
      <c r="B31" s="45"/>
      <c r="C31" s="35"/>
      <c r="G31" s="45"/>
      <c r="H31" s="34"/>
      <c r="L31" s="45"/>
      <c r="M31" s="36"/>
    </row>
    <row r="32" spans="2:14" ht="23.25" x14ac:dyDescent="0.7">
      <c r="B32" s="45"/>
      <c r="C32" s="35"/>
      <c r="G32" s="45"/>
      <c r="H32" s="34"/>
      <c r="L32" s="45"/>
      <c r="M32" s="36"/>
    </row>
    <row r="33" spans="2:14" ht="23.25" x14ac:dyDescent="0.7">
      <c r="B33" s="45" t="s">
        <v>124</v>
      </c>
      <c r="C33" s="34" t="s">
        <v>124</v>
      </c>
      <c r="G33" s="45" t="s">
        <v>69</v>
      </c>
      <c r="H33" s="34">
        <f>Data!Q10</f>
        <v>36352.42500312347</v>
      </c>
      <c r="L33" s="45" t="s">
        <v>117</v>
      </c>
      <c r="M33" s="59">
        <f>Data!C31</f>
        <v>692.57545009595469</v>
      </c>
    </row>
    <row r="34" spans="2:14" x14ac:dyDescent="0.45"/>
    <row r="35" spans="2:14" x14ac:dyDescent="0.45"/>
    <row r="36" spans="2:14" ht="15.75" x14ac:dyDescent="0.5">
      <c r="B36" s="16"/>
      <c r="C36" s="16"/>
      <c r="D36" s="16"/>
      <c r="E36" s="16"/>
      <c r="F36" s="16"/>
      <c r="G36" s="67" t="s">
        <v>104</v>
      </c>
      <c r="H36" s="67"/>
      <c r="I36" s="28"/>
      <c r="J36" s="16"/>
      <c r="K36" s="16"/>
      <c r="L36" s="16"/>
      <c r="M36" s="16"/>
      <c r="N36" s="29"/>
    </row>
    <row r="37" spans="2:14" x14ac:dyDescent="0.45"/>
    <row r="38" spans="2:14" x14ac:dyDescent="0.45"/>
    <row r="39" spans="2:14" x14ac:dyDescent="0.45"/>
    <row r="40" spans="2:14" x14ac:dyDescent="0.45"/>
    <row r="41" spans="2:14" x14ac:dyDescent="0.45"/>
    <row r="42" spans="2:14" x14ac:dyDescent="0.45"/>
    <row r="43" spans="2:14" x14ac:dyDescent="0.45"/>
    <row r="44" spans="2:14" x14ac:dyDescent="0.45"/>
    <row r="45" spans="2:14" x14ac:dyDescent="0.45"/>
    <row r="46" spans="2:14" x14ac:dyDescent="0.45"/>
    <row r="47" spans="2:14" x14ac:dyDescent="0.45"/>
    <row r="48" spans="2:14" x14ac:dyDescent="0.45"/>
    <row r="49" x14ac:dyDescent="0.45"/>
    <row r="50" x14ac:dyDescent="0.45"/>
    <row r="51" x14ac:dyDescent="0.45"/>
    <row r="52" x14ac:dyDescent="0.45"/>
    <row r="53" x14ac:dyDescent="0.45"/>
    <row r="54" x14ac:dyDescent="0.45"/>
    <row r="55" x14ac:dyDescent="0.45"/>
    <row r="56" x14ac:dyDescent="0.45"/>
    <row r="57" x14ac:dyDescent="0.45"/>
    <row r="58" x14ac:dyDescent="0.45"/>
    <row r="59" x14ac:dyDescent="0.45"/>
    <row r="60" x14ac:dyDescent="0.45"/>
    <row r="61" x14ac:dyDescent="0.45"/>
    <row r="62" x14ac:dyDescent="0.45"/>
    <row r="63" x14ac:dyDescent="0.45"/>
    <row r="64" x14ac:dyDescent="0.45"/>
    <row r="65" x14ac:dyDescent="0.45"/>
    <row r="66" x14ac:dyDescent="0.45"/>
    <row r="67" x14ac:dyDescent="0.45"/>
    <row r="68" x14ac:dyDescent="0.45"/>
    <row r="69" x14ac:dyDescent="0.45"/>
    <row r="70" x14ac:dyDescent="0.45"/>
    <row r="71" x14ac:dyDescent="0.45"/>
    <row r="72" x14ac:dyDescent="0.45"/>
    <row r="73" x14ac:dyDescent="0.45"/>
    <row r="74" x14ac:dyDescent="0.45"/>
    <row r="75" x14ac:dyDescent="0.45"/>
    <row r="76" x14ac:dyDescent="0.45"/>
    <row r="77" x14ac:dyDescent="0.45"/>
    <row r="78" x14ac:dyDescent="0.45"/>
    <row r="79" x14ac:dyDescent="0.45"/>
    <row r="80" x14ac:dyDescent="0.45"/>
    <row r="81" x14ac:dyDescent="0.45"/>
    <row r="82" x14ac:dyDescent="0.45"/>
    <row r="83" x14ac:dyDescent="0.45"/>
    <row r="84" x14ac:dyDescent="0.45"/>
    <row r="85" x14ac:dyDescent="0.45"/>
    <row r="86" x14ac:dyDescent="0.45"/>
    <row r="87" x14ac:dyDescent="0.45"/>
    <row r="88" x14ac:dyDescent="0.45"/>
    <row r="89" x14ac:dyDescent="0.45"/>
    <row r="90" x14ac:dyDescent="0.45"/>
    <row r="91" x14ac:dyDescent="0.45"/>
    <row r="92" x14ac:dyDescent="0.45"/>
    <row r="93" x14ac:dyDescent="0.45"/>
    <row r="94" x14ac:dyDescent="0.45"/>
    <row r="95" x14ac:dyDescent="0.45"/>
    <row r="96" x14ac:dyDescent="0.45"/>
    <row r="97" x14ac:dyDescent="0.45"/>
    <row r="98" x14ac:dyDescent="0.45"/>
    <row r="99" x14ac:dyDescent="0.45"/>
    <row r="100" x14ac:dyDescent="0.45"/>
    <row r="101" x14ac:dyDescent="0.45"/>
    <row r="102" x14ac:dyDescent="0.45"/>
    <row r="103" x14ac:dyDescent="0.45"/>
    <row r="104" x14ac:dyDescent="0.45"/>
    <row r="105" x14ac:dyDescent="0.45"/>
    <row r="106" x14ac:dyDescent="0.45"/>
    <row r="107" x14ac:dyDescent="0.45"/>
    <row r="108" x14ac:dyDescent="0.45"/>
    <row r="109" x14ac:dyDescent="0.45"/>
    <row r="110" x14ac:dyDescent="0.45"/>
    <row r="111" x14ac:dyDescent="0.45"/>
    <row r="112" x14ac:dyDescent="0.45"/>
    <row r="113" x14ac:dyDescent="0.45"/>
    <row r="114" x14ac:dyDescent="0.45"/>
    <row r="115" x14ac:dyDescent="0.45"/>
    <row r="116" x14ac:dyDescent="0.45"/>
    <row r="117" x14ac:dyDescent="0.45"/>
    <row r="118" x14ac:dyDescent="0.45"/>
    <row r="119" x14ac:dyDescent="0.45"/>
    <row r="120" x14ac:dyDescent="0.45"/>
    <row r="121" x14ac:dyDescent="0.45"/>
    <row r="122" x14ac:dyDescent="0.45"/>
    <row r="123" x14ac:dyDescent="0.45"/>
    <row r="124" x14ac:dyDescent="0.45"/>
    <row r="125" x14ac:dyDescent="0.45"/>
    <row r="126" x14ac:dyDescent="0.45"/>
    <row r="127" x14ac:dyDescent="0.45"/>
    <row r="128" x14ac:dyDescent="0.45"/>
    <row r="129" x14ac:dyDescent="0.45"/>
    <row r="130" x14ac:dyDescent="0.45"/>
    <row r="131" x14ac:dyDescent="0.45"/>
    <row r="132" x14ac:dyDescent="0.45"/>
    <row r="133" x14ac:dyDescent="0.45"/>
    <row r="134" x14ac:dyDescent="0.45"/>
    <row r="135" x14ac:dyDescent="0.45"/>
    <row r="136" x14ac:dyDescent="0.45"/>
    <row r="137" x14ac:dyDescent="0.45"/>
    <row r="138" x14ac:dyDescent="0.45"/>
    <row r="139" x14ac:dyDescent="0.45"/>
    <row r="140" x14ac:dyDescent="0.45"/>
    <row r="141" x14ac:dyDescent="0.45"/>
    <row r="142" x14ac:dyDescent="0.45"/>
    <row r="143" x14ac:dyDescent="0.45"/>
    <row r="144" x14ac:dyDescent="0.45"/>
    <row r="145" spans="2:13" x14ac:dyDescent="0.45"/>
    <row r="146" spans="2:13" x14ac:dyDescent="0.45"/>
    <row r="147" spans="2:13" x14ac:dyDescent="0.45"/>
    <row r="148" spans="2:13" x14ac:dyDescent="0.45"/>
    <row r="149" spans="2:13" x14ac:dyDescent="0.45"/>
    <row r="150" spans="2:13" x14ac:dyDescent="0.45"/>
    <row r="151" spans="2:13" x14ac:dyDescent="0.45"/>
    <row r="152" spans="2:13" x14ac:dyDescent="0.45"/>
    <row r="153" spans="2:13" x14ac:dyDescent="0.45"/>
    <row r="154" spans="2:13" x14ac:dyDescent="0.45"/>
    <row r="155" spans="2:13" x14ac:dyDescent="0.45"/>
    <row r="156" spans="2:13" x14ac:dyDescent="0.45"/>
    <row r="157" spans="2:13" x14ac:dyDescent="0.45"/>
    <row r="158" spans="2:13" x14ac:dyDescent="0.45"/>
    <row r="159" spans="2:13" x14ac:dyDescent="0.45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</row>
  </sheetData>
  <sheetProtection formatCells="0" formatColumns="0" formatRows="0" selectLockedCells="1"/>
  <mergeCells count="5">
    <mergeCell ref="G1:H1"/>
    <mergeCell ref="G3:H3"/>
    <mergeCell ref="G13:H13"/>
    <mergeCell ref="G25:H25"/>
    <mergeCell ref="G36:H36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xr:uid="{CB774D86-7ECA-46E2-924B-FA07465A941B}">
          <x14:formula1>
            <xm:f>Data!$G$22:$H$22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AZ155"/>
  <sheetViews>
    <sheetView topLeftCell="C1" zoomScale="70" zoomScaleNormal="70" workbookViewId="0">
      <selection activeCell="F39" sqref="F39"/>
    </sheetView>
  </sheetViews>
  <sheetFormatPr defaultRowHeight="14.25" x14ac:dyDescent="0.45"/>
  <cols>
    <col min="2" max="2" width="64.19921875" bestFit="1" customWidth="1"/>
    <col min="3" max="3" width="23.53125" customWidth="1"/>
    <col min="4" max="4" width="22.33203125" customWidth="1"/>
    <col min="5" max="5" width="11.796875" bestFit="1" customWidth="1"/>
    <col min="6" max="6" width="58.33203125" customWidth="1"/>
    <col min="7" max="7" width="25.9296875" bestFit="1" customWidth="1"/>
    <col min="8" max="8" width="17.06640625" bestFit="1" customWidth="1"/>
    <col min="9" max="9" width="16" customWidth="1"/>
    <col min="10" max="10" width="16.53125" customWidth="1"/>
    <col min="11" max="11" width="18.9296875" bestFit="1" customWidth="1"/>
    <col min="12" max="12" width="24.33203125" bestFit="1" customWidth="1"/>
    <col min="13" max="13" width="18.19921875" customWidth="1"/>
    <col min="15" max="15" width="19.33203125" bestFit="1" customWidth="1"/>
    <col min="16" max="16" width="23.3984375" customWidth="1"/>
    <col min="17" max="17" width="17.06640625" bestFit="1" customWidth="1"/>
    <col min="18" max="18" width="15.19921875" customWidth="1"/>
    <col min="19" max="19" width="18.3984375" customWidth="1"/>
    <col min="20" max="20" width="21.6640625" customWidth="1"/>
    <col min="22" max="22" width="13.46484375" bestFit="1" customWidth="1"/>
    <col min="23" max="23" width="16.796875" customWidth="1"/>
    <col min="28" max="28" width="12.53125" bestFit="1" customWidth="1"/>
    <col min="31" max="31" width="12.53125" bestFit="1" customWidth="1"/>
    <col min="39" max="39" width="16.73046875" customWidth="1"/>
    <col min="41" max="41" width="12.53125" bestFit="1" customWidth="1"/>
    <col min="42" max="42" width="13.86328125" customWidth="1"/>
    <col min="43" max="43" width="13.265625" bestFit="1" customWidth="1"/>
    <col min="46" max="46" width="13.73046875" bestFit="1" customWidth="1"/>
    <col min="51" max="51" width="13.73046875" bestFit="1" customWidth="1"/>
    <col min="52" max="52" width="13.06640625" customWidth="1"/>
    <col min="2000" max="2000" width="2.265625" customWidth="1"/>
  </cols>
  <sheetData>
    <row r="2" spans="2:32" x14ac:dyDescent="0.45">
      <c r="B2" t="s">
        <v>0</v>
      </c>
      <c r="D2" t="s">
        <v>120</v>
      </c>
      <c r="E2" t="s">
        <v>119</v>
      </c>
      <c r="F2" t="s">
        <v>1</v>
      </c>
      <c r="H2" t="s">
        <v>120</v>
      </c>
      <c r="I2" t="s">
        <v>119</v>
      </c>
      <c r="L2" t="s">
        <v>88</v>
      </c>
      <c r="M2" s="18">
        <v>1</v>
      </c>
      <c r="Q2">
        <f>_xlfn.NORM.S.DIST(O7,TRUE)</f>
        <v>0.7121908531151957</v>
      </c>
      <c r="R2" t="s">
        <v>123</v>
      </c>
      <c r="S2" t="s">
        <v>131</v>
      </c>
      <c r="AB2" s="23">
        <f>Q10</f>
        <v>36352.42500312347</v>
      </c>
      <c r="AE2" s="23">
        <f>AB2</f>
        <v>36352.42500312347</v>
      </c>
    </row>
    <row r="3" spans="2:32" x14ac:dyDescent="0.45">
      <c r="B3" s="3" t="s">
        <v>2</v>
      </c>
      <c r="C3" s="3" t="s">
        <v>3</v>
      </c>
      <c r="D3" s="21">
        <v>3.8</v>
      </c>
      <c r="F3" s="3" t="s">
        <v>118</v>
      </c>
      <c r="G3" s="3" t="s">
        <v>4</v>
      </c>
      <c r="H3" s="22">
        <f>Dashboard!C17</f>
        <v>16.66667</v>
      </c>
      <c r="I3">
        <f>I4</f>
        <v>20</v>
      </c>
      <c r="L3" t="s">
        <v>5</v>
      </c>
      <c r="M3" s="18">
        <v>1</v>
      </c>
      <c r="V3" t="s">
        <v>86</v>
      </c>
      <c r="W3" t="s">
        <v>85</v>
      </c>
      <c r="AA3">
        <v>1</v>
      </c>
      <c r="AB3">
        <f t="dataTable" ref="AB3:AB22" dt2D="0" dtr="0" r1="D3" ca="1"/>
        <v>162959.19430046435</v>
      </c>
      <c r="AC3" s="47">
        <f>ABS((AB3-$AB$3)/$AB$3)</f>
        <v>0</v>
      </c>
      <c r="AD3">
        <v>45</v>
      </c>
      <c r="AE3">
        <f t="dataTable" ref="AE3:AE22" dt2D="0" dtr="0" r1="H14"/>
        <v>85086.853975824546</v>
      </c>
      <c r="AF3" s="47">
        <f>ABS((AE3-$AE$3)/$AE$3)</f>
        <v>0</v>
      </c>
    </row>
    <row r="4" spans="2:32" x14ac:dyDescent="0.45">
      <c r="B4" s="3" t="s">
        <v>6</v>
      </c>
      <c r="C4" s="3" t="s">
        <v>7</v>
      </c>
      <c r="D4" s="21">
        <f>Dashboard!C16</f>
        <v>14</v>
      </c>
      <c r="F4" t="s">
        <v>8</v>
      </c>
      <c r="G4" t="s">
        <v>9</v>
      </c>
      <c r="H4">
        <f>D5</f>
        <v>16.66667</v>
      </c>
      <c r="I4">
        <v>20</v>
      </c>
      <c r="O4" t="s">
        <v>10</v>
      </c>
      <c r="P4" t="s">
        <v>11</v>
      </c>
      <c r="Q4" t="s">
        <v>12</v>
      </c>
      <c r="R4" t="s">
        <v>13</v>
      </c>
      <c r="T4" t="s">
        <v>111</v>
      </c>
      <c r="U4" t="s">
        <v>85</v>
      </c>
      <c r="W4" s="64">
        <f>P10</f>
        <v>785400.0000000014</v>
      </c>
      <c r="AA4">
        <v>2</v>
      </c>
      <c r="AB4">
        <v>123028.27507009089</v>
      </c>
      <c r="AC4" s="47">
        <f t="shared" ref="AC4:AC22" si="0">ABS((AB4-$AB$3)/$AB$3)</f>
        <v>0.24503630741293911</v>
      </c>
      <c r="AD4">
        <v>46</v>
      </c>
      <c r="AE4">
        <v>91765.87143096514</v>
      </c>
      <c r="AF4" s="47">
        <f t="shared" ref="AF4:AF22" si="1">ABS((AE4-$AE$3)/$AE$3)</f>
        <v>7.8496467351328827E-2</v>
      </c>
    </row>
    <row r="5" spans="2:32" ht="16.5" x14ac:dyDescent="0.6">
      <c r="B5" t="s">
        <v>121</v>
      </c>
      <c r="C5" t="s">
        <v>14</v>
      </c>
      <c r="D5">
        <f>16.66667</f>
        <v>16.66667</v>
      </c>
      <c r="F5" t="s">
        <v>15</v>
      </c>
      <c r="G5" t="s">
        <v>16</v>
      </c>
      <c r="H5">
        <f>D6</f>
        <v>8.24</v>
      </c>
      <c r="I5">
        <v>9.4</v>
      </c>
      <c r="N5" t="s">
        <v>17</v>
      </c>
      <c r="O5">
        <f>(D3+D4-D5)/D6</f>
        <v>0.13754004854368942</v>
      </c>
      <c r="P5">
        <f>D6*M3</f>
        <v>8.24</v>
      </c>
      <c r="Q5" s="60">
        <f>_xlfn.NORM.S.DIST(O5,FALSE)-O5*(1-_xlfn.NORM.S.DIST(O5,TRUE))</f>
        <v>0.33393976716320684</v>
      </c>
      <c r="R5" s="23">
        <f>Q5*P5*D7*(1-_xlfn.NORM.S.DIST(O5,TRUE))</f>
        <v>97208.819740710605</v>
      </c>
      <c r="S5" s="23">
        <f>P10</f>
        <v>785400.0000000014</v>
      </c>
      <c r="T5" s="23">
        <f>(H3-D3-D4)*D7</f>
        <v>-89910.846666666912</v>
      </c>
      <c r="U5" t="s">
        <v>0</v>
      </c>
      <c r="V5" s="20">
        <f>R5</f>
        <v>97208.819740710605</v>
      </c>
      <c r="AA5">
        <v>3</v>
      </c>
      <c r="AB5">
        <v>77134.358869679505</v>
      </c>
      <c r="AC5" s="47">
        <f t="shared" si="0"/>
        <v>0.52666457881806239</v>
      </c>
      <c r="AD5">
        <v>47</v>
      </c>
      <c r="AE5">
        <v>97334.666757349856</v>
      </c>
      <c r="AF5" s="47">
        <f t="shared" si="1"/>
        <v>0.14394483059633678</v>
      </c>
    </row>
    <row r="6" spans="2:32" ht="16.5" x14ac:dyDescent="0.6">
      <c r="B6" t="s">
        <v>18</v>
      </c>
      <c r="C6" t="s">
        <v>19</v>
      </c>
      <c r="D6">
        <v>8.24</v>
      </c>
      <c r="F6" t="s">
        <v>20</v>
      </c>
      <c r="G6" t="s">
        <v>21</v>
      </c>
      <c r="N6" t="s">
        <v>22</v>
      </c>
      <c r="O6">
        <f>(H7-I4-H9)/H11</f>
        <v>-8.7379539425743127E-2</v>
      </c>
      <c r="P6">
        <f>H11*M3</f>
        <v>11.825422825421509</v>
      </c>
      <c r="Q6" s="60">
        <f>_xlfn.NORM.S.DIST(O6,FALSE)-O6*(1-_xlfn.NORM.S.DIST(O6,TRUE))</f>
        <v>0.44415408066254081</v>
      </c>
      <c r="R6" s="23">
        <f>Q6*P6*D7*(1-_xlfn.NORM.S.DIST(O6,TRUE))</f>
        <v>222848.48428947589</v>
      </c>
      <c r="T6" s="23">
        <f>(H7-I3-H9)*D7</f>
        <v>-81975.133333333608</v>
      </c>
      <c r="U6" t="s">
        <v>1</v>
      </c>
      <c r="V6" s="20">
        <f>R6</f>
        <v>222848.48428947589</v>
      </c>
      <c r="AA6">
        <v>4</v>
      </c>
      <c r="AB6">
        <v>25621.45495493873</v>
      </c>
      <c r="AC6" s="47">
        <f t="shared" si="0"/>
        <v>0.84277379950898712</v>
      </c>
      <c r="AD6">
        <v>48</v>
      </c>
      <c r="AE6">
        <v>101876.2842293568</v>
      </c>
      <c r="AF6" s="47">
        <f t="shared" si="1"/>
        <v>0.19732108391623665</v>
      </c>
    </row>
    <row r="7" spans="2:32" ht="16.5" x14ac:dyDescent="0.6">
      <c r="B7" s="3" t="s">
        <v>142</v>
      </c>
      <c r="C7" s="3" t="s">
        <v>23</v>
      </c>
      <c r="D7" s="14">
        <f>Dashboard!C10</f>
        <v>79333.333333333489</v>
      </c>
      <c r="F7" s="3" t="s">
        <v>24</v>
      </c>
      <c r="G7" s="3" t="s">
        <v>25</v>
      </c>
      <c r="H7" s="21">
        <v>21.666699999999999</v>
      </c>
      <c r="I7">
        <v>26</v>
      </c>
      <c r="J7" t="s">
        <v>136</v>
      </c>
      <c r="N7" t="s">
        <v>26</v>
      </c>
      <c r="O7">
        <f>(H14-H15-I7)/I8</f>
        <v>0.55979643765903286</v>
      </c>
      <c r="P7">
        <f>I8*M3</f>
        <v>7.86</v>
      </c>
      <c r="Q7" s="60">
        <f>_xlfn.NORM.S.DIST(O7,FALSE)-O7*(1-_xlfn.NORM.S.DIST(O7,TRUE))</f>
        <v>0.17997012611198812</v>
      </c>
      <c r="R7" s="62">
        <f>((H14-H15-I7)*D7)+(P7*Q7*D7*Q2)</f>
        <v>428990.27096669137</v>
      </c>
      <c r="T7" s="23">
        <f>(H14-H15-I7)*D7</f>
        <v>349066.66666666721</v>
      </c>
      <c r="U7" t="s">
        <v>36</v>
      </c>
      <c r="V7" s="20">
        <f>R7</f>
        <v>428990.27096669137</v>
      </c>
      <c r="AA7">
        <v>5</v>
      </c>
      <c r="AB7">
        <v>-31037.628801334416</v>
      </c>
      <c r="AC7" s="47">
        <f t="shared" si="0"/>
        <v>1.1904625813509313</v>
      </c>
      <c r="AD7">
        <v>49</v>
      </c>
      <c r="AE7">
        <v>105503.30467753462</v>
      </c>
      <c r="AF7" s="47">
        <f t="shared" si="1"/>
        <v>0.23994835568266432</v>
      </c>
    </row>
    <row r="8" spans="2:32" x14ac:dyDescent="0.45">
      <c r="B8" t="s">
        <v>27</v>
      </c>
      <c r="C8" t="s">
        <v>17</v>
      </c>
      <c r="F8" t="s">
        <v>15</v>
      </c>
      <c r="G8" t="s">
        <v>28</v>
      </c>
      <c r="H8">
        <v>7.1749999999999998</v>
      </c>
      <c r="I8">
        <v>7.86</v>
      </c>
      <c r="J8" t="s">
        <v>124</v>
      </c>
      <c r="R8" s="23">
        <f>SUM(R5:R7)</f>
        <v>749047.57499687793</v>
      </c>
      <c r="T8" s="64">
        <f>SUM(T5:T7)</f>
        <v>177180.6866666667</v>
      </c>
      <c r="V8" s="63">
        <f>SUM(V5:V7)</f>
        <v>749047.57499687793</v>
      </c>
      <c r="W8" s="65">
        <f>(W4-V8)*100/V8</f>
        <v>4.8531530194560721</v>
      </c>
      <c r="AA8">
        <v>6</v>
      </c>
      <c r="AB8">
        <v>-92278.970182399498</v>
      </c>
      <c r="AC8" s="47">
        <f t="shared" si="0"/>
        <v>1.5662704125319582</v>
      </c>
      <c r="AD8">
        <v>50</v>
      </c>
      <c r="AE8">
        <v>108342.58235291368</v>
      </c>
      <c r="AF8" s="47">
        <f t="shared" si="1"/>
        <v>0.27331752545107274</v>
      </c>
    </row>
    <row r="9" spans="2:32" x14ac:dyDescent="0.45">
      <c r="F9" s="2" t="s">
        <v>29</v>
      </c>
      <c r="G9" s="2" t="s">
        <v>30</v>
      </c>
      <c r="H9" s="24">
        <v>2.7</v>
      </c>
      <c r="N9" t="s">
        <v>31</v>
      </c>
      <c r="O9" t="s">
        <v>32</v>
      </c>
      <c r="P9" t="s">
        <v>33</v>
      </c>
      <c r="Q9" t="s">
        <v>69</v>
      </c>
      <c r="AA9">
        <v>7</v>
      </c>
      <c r="AB9">
        <v>-157487.96086610365</v>
      </c>
      <c r="AC9" s="47">
        <f t="shared" si="0"/>
        <v>1.9664257456730374</v>
      </c>
      <c r="AD9">
        <v>51</v>
      </c>
      <c r="AE9">
        <v>110523.09707551636</v>
      </c>
      <c r="AF9" s="47">
        <f t="shared" si="1"/>
        <v>0.29894445394489411</v>
      </c>
    </row>
    <row r="10" spans="2:32" x14ac:dyDescent="0.45">
      <c r="F10" t="s">
        <v>34</v>
      </c>
      <c r="G10" t="s">
        <v>22</v>
      </c>
      <c r="O10">
        <f>SUM(R5:R7)</f>
        <v>749047.57499687793</v>
      </c>
      <c r="P10" s="23">
        <f>(H14-C11)*D7</f>
        <v>785400.0000000014</v>
      </c>
      <c r="Q10" s="23">
        <f>P10-O10</f>
        <v>36352.42500312347</v>
      </c>
      <c r="AA10">
        <v>8</v>
      </c>
      <c r="AB10">
        <v>-226038.18162403494</v>
      </c>
      <c r="AC10" s="47">
        <f t="shared" si="0"/>
        <v>2.3870845557033467</v>
      </c>
      <c r="AD10">
        <v>52</v>
      </c>
      <c r="AE10">
        <v>112167.20378294098</v>
      </c>
      <c r="AF10" s="47">
        <f t="shared" si="1"/>
        <v>0.3182671416528185</v>
      </c>
    </row>
    <row r="11" spans="2:32" ht="14.65" thickBot="1" x14ac:dyDescent="0.5">
      <c r="B11" t="s">
        <v>35</v>
      </c>
      <c r="C11">
        <f>D3+D4+H9+H15</f>
        <v>30.1</v>
      </c>
      <c r="F11" s="2" t="s">
        <v>130</v>
      </c>
      <c r="H11" s="61">
        <f>SQRT((I5^2)+(H8^2))</f>
        <v>11.825422825421509</v>
      </c>
      <c r="AA11">
        <v>9</v>
      </c>
      <c r="AB11">
        <v>-297325.15542358515</v>
      </c>
      <c r="AC11" s="47">
        <f t="shared" si="0"/>
        <v>2.8245374659583593</v>
      </c>
      <c r="AD11">
        <v>53</v>
      </c>
      <c r="AE11">
        <v>113385.07802649844</v>
      </c>
      <c r="AF11" s="47">
        <f t="shared" si="1"/>
        <v>0.33258044842878048</v>
      </c>
    </row>
    <row r="12" spans="2:32" ht="14.65" thickBot="1" x14ac:dyDescent="0.5">
      <c r="N12" s="9">
        <f>M3</f>
        <v>1</v>
      </c>
      <c r="O12" s="10">
        <v>472088.80777114141</v>
      </c>
      <c r="P12" s="10">
        <v>495000.00000000081</v>
      </c>
      <c r="Q12" s="11">
        <v>22911.192228859407</v>
      </c>
      <c r="T12" t="s">
        <v>137</v>
      </c>
      <c r="U12" t="s">
        <v>85</v>
      </c>
      <c r="V12" t="s">
        <v>69</v>
      </c>
      <c r="W12" t="s">
        <v>138</v>
      </c>
      <c r="AA12">
        <v>10</v>
      </c>
      <c r="AB12">
        <v>-370792.55082866183</v>
      </c>
      <c r="AC12" s="47">
        <f t="shared" si="0"/>
        <v>3.2753705454937023</v>
      </c>
      <c r="AD12">
        <v>54</v>
      </c>
      <c r="AE12">
        <v>114271.85807936452</v>
      </c>
      <c r="AF12" s="47">
        <f t="shared" si="1"/>
        <v>0.34300250555546713</v>
      </c>
    </row>
    <row r="13" spans="2:32" x14ac:dyDescent="0.45">
      <c r="F13" t="s">
        <v>36</v>
      </c>
      <c r="M13">
        <v>1</v>
      </c>
      <c r="N13" s="8">
        <v>0.5</v>
      </c>
      <c r="O13" s="12">
        <v>472088.80777114141</v>
      </c>
      <c r="P13" s="12">
        <v>495000.00000000081</v>
      </c>
      <c r="Q13" s="12">
        <v>22911.192228859407</v>
      </c>
      <c r="S13">
        <v>0.5</v>
      </c>
      <c r="T13">
        <v>346044.40388557088</v>
      </c>
      <c r="U13">
        <v>495000.00000000081</v>
      </c>
      <c r="V13">
        <v>148955.59611442994</v>
      </c>
      <c r="W13">
        <f>V13*100/T13</f>
        <v>43.04522611603516</v>
      </c>
      <c r="AA13">
        <v>11</v>
      </c>
      <c r="AB13">
        <v>-445949.71664691292</v>
      </c>
      <c r="AC13" s="47">
        <f t="shared" si="0"/>
        <v>3.7365729105451413</v>
      </c>
      <c r="AD13">
        <v>55</v>
      </c>
      <c r="AE13">
        <v>114906.85349686188</v>
      </c>
      <c r="AF13" s="47">
        <f t="shared" si="1"/>
        <v>0.35046541419324295</v>
      </c>
    </row>
    <row r="14" spans="2:32" x14ac:dyDescent="0.45">
      <c r="B14" s="2" t="s">
        <v>37</v>
      </c>
      <c r="C14" s="1">
        <v>40.799999999999997</v>
      </c>
      <c r="F14" s="3" t="s">
        <v>38</v>
      </c>
      <c r="G14" s="3" t="s">
        <v>39</v>
      </c>
      <c r="H14" s="21">
        <v>40</v>
      </c>
      <c r="M14">
        <v>2</v>
      </c>
      <c r="N14" s="7">
        <v>0.75</v>
      </c>
      <c r="O14" s="12"/>
      <c r="P14" s="12"/>
      <c r="Q14" s="12"/>
      <c r="S14">
        <v>0.75</v>
      </c>
      <c r="T14">
        <v>409066.60582835617</v>
      </c>
      <c r="U14">
        <v>495000.00000000081</v>
      </c>
      <c r="V14">
        <v>85933.394171644642</v>
      </c>
      <c r="W14">
        <f t="shared" ref="W14:W18" si="2">V14*100/T14</f>
        <v>21.007188792062429</v>
      </c>
      <c r="AA14">
        <v>12</v>
      </c>
      <c r="AB14">
        <v>-522380.66289266158</v>
      </c>
      <c r="AC14" s="47">
        <f t="shared" si="0"/>
        <v>4.2055918362574589</v>
      </c>
      <c r="AD14">
        <v>56</v>
      </c>
      <c r="AE14">
        <v>115354.18575917673</v>
      </c>
      <c r="AF14" s="47">
        <f t="shared" si="1"/>
        <v>0.35572277465978408</v>
      </c>
    </row>
    <row r="15" spans="2:32" x14ac:dyDescent="0.45">
      <c r="B15" t="s">
        <v>40</v>
      </c>
      <c r="C15" s="19">
        <f>(Dashboard!M5/Dashboard!H8)*H7</f>
        <v>2556165.9309189189</v>
      </c>
      <c r="F15" s="3" t="s">
        <v>41</v>
      </c>
      <c r="G15" s="3" t="s">
        <v>42</v>
      </c>
      <c r="H15" s="21">
        <v>9.6</v>
      </c>
      <c r="M15">
        <v>3</v>
      </c>
      <c r="N15" s="7">
        <v>0.9</v>
      </c>
      <c r="O15" s="12"/>
      <c r="P15" s="12"/>
      <c r="Q15" s="12"/>
      <c r="S15">
        <v>0.9</v>
      </c>
      <c r="T15">
        <v>446879.92699402734</v>
      </c>
      <c r="U15">
        <v>495000.00000000081</v>
      </c>
      <c r="V15">
        <v>48120.073005973478</v>
      </c>
      <c r="W15">
        <f t="shared" si="2"/>
        <v>10.768009503057543</v>
      </c>
      <c r="AA15">
        <v>13</v>
      </c>
      <c r="AB15">
        <v>-599745.57604572747</v>
      </c>
      <c r="AC15" s="47">
        <f t="shared" si="0"/>
        <v>4.6803420550786221</v>
      </c>
      <c r="AD15">
        <v>57</v>
      </c>
      <c r="AE15">
        <v>115664.30265885522</v>
      </c>
      <c r="AF15" s="47">
        <f t="shared" si="1"/>
        <v>0.35936748456722284</v>
      </c>
    </row>
    <row r="16" spans="2:32" x14ac:dyDescent="0.45">
      <c r="B16" t="s">
        <v>43</v>
      </c>
      <c r="F16" t="s">
        <v>44</v>
      </c>
      <c r="G16" t="s">
        <v>25</v>
      </c>
      <c r="I16">
        <f>I7</f>
        <v>26</v>
      </c>
      <c r="M16">
        <v>4</v>
      </c>
      <c r="N16" s="7">
        <v>1</v>
      </c>
      <c r="O16" s="12"/>
      <c r="P16" s="12"/>
      <c r="Q16" s="12"/>
      <c r="S16">
        <v>1</v>
      </c>
      <c r="T16">
        <v>472088.80777114141</v>
      </c>
      <c r="U16">
        <v>495000.00000000081</v>
      </c>
      <c r="V16">
        <v>22911.192228859407</v>
      </c>
      <c r="W16">
        <f t="shared" si="2"/>
        <v>4.8531530194560899</v>
      </c>
      <c r="AA16">
        <v>14</v>
      </c>
      <c r="AB16">
        <v>-677776.56537924928</v>
      </c>
      <c r="AC16" s="47">
        <f t="shared" si="0"/>
        <v>5.1591796540768611</v>
      </c>
      <c r="AD16">
        <v>58</v>
      </c>
      <c r="AE16">
        <v>115875.92299149744</v>
      </c>
      <c r="AF16" s="47">
        <f t="shared" si="1"/>
        <v>0.36185459418232685</v>
      </c>
    </row>
    <row r="17" spans="2:52" x14ac:dyDescent="0.45">
      <c r="B17" s="2" t="s">
        <v>45</v>
      </c>
      <c r="C17" s="15">
        <f>Dashboard!M6</f>
        <v>237202</v>
      </c>
      <c r="F17" t="s">
        <v>46</v>
      </c>
      <c r="G17" t="s">
        <v>28</v>
      </c>
      <c r="I17">
        <f>I8</f>
        <v>7.86</v>
      </c>
      <c r="M17">
        <v>5</v>
      </c>
      <c r="N17" s="7">
        <v>1.1000000000000001</v>
      </c>
      <c r="O17" s="12"/>
      <c r="P17" s="12"/>
      <c r="Q17" s="12"/>
      <c r="S17">
        <v>1.1000000000000001</v>
      </c>
      <c r="T17">
        <v>497297.6885482556</v>
      </c>
      <c r="U17">
        <v>495000.00000000081</v>
      </c>
      <c r="V17">
        <v>-2297.6885482547805</v>
      </c>
      <c r="W17">
        <f t="shared" si="2"/>
        <v>-0.46203483369535564</v>
      </c>
      <c r="AA17">
        <v>15</v>
      </c>
      <c r="AB17">
        <v>-756269.56727625895</v>
      </c>
      <c r="AC17" s="47">
        <f t="shared" si="0"/>
        <v>5.6408523957344086</v>
      </c>
      <c r="AD17">
        <v>59</v>
      </c>
      <c r="AE17">
        <v>116018.09093813784</v>
      </c>
      <c r="AF17" s="47">
        <f t="shared" si="1"/>
        <v>0.36352545095981209</v>
      </c>
    </row>
    <row r="18" spans="2:52" x14ac:dyDescent="0.45">
      <c r="B18" t="s">
        <v>47</v>
      </c>
      <c r="F18" t="s">
        <v>34</v>
      </c>
      <c r="G18" t="s">
        <v>26</v>
      </c>
      <c r="M18">
        <v>6</v>
      </c>
      <c r="N18" s="7">
        <v>1.3</v>
      </c>
      <c r="O18" s="12"/>
      <c r="P18" s="12"/>
      <c r="Q18" s="12"/>
      <c r="S18">
        <v>1.3</v>
      </c>
      <c r="T18">
        <v>547715.45010248385</v>
      </c>
      <c r="U18">
        <v>495000.00000000081</v>
      </c>
      <c r="V18">
        <v>-52715.450102483039</v>
      </c>
      <c r="W18">
        <f t="shared" si="2"/>
        <v>-9.6246052749871058</v>
      </c>
      <c r="AA18">
        <v>16</v>
      </c>
      <c r="AB18">
        <v>-835074.24329623289</v>
      </c>
      <c r="AC18" s="47">
        <f t="shared" si="0"/>
        <v>6.1244377273768427</v>
      </c>
      <c r="AD18">
        <v>60</v>
      </c>
      <c r="AE18">
        <v>116112.13086947752</v>
      </c>
      <c r="AF18" s="47">
        <f t="shared" si="1"/>
        <v>0.36463067376387059</v>
      </c>
    </row>
    <row r="19" spans="2:52" x14ac:dyDescent="0.45">
      <c r="B19" s="2" t="s">
        <v>48</v>
      </c>
      <c r="C19" s="15">
        <f>Dashboard!M7</f>
        <v>3200626</v>
      </c>
      <c r="AA19">
        <v>17</v>
      </c>
      <c r="AB19">
        <v>-914083.39557467459</v>
      </c>
      <c r="AC19" s="47">
        <f t="shared" si="0"/>
        <v>6.6092778287138954</v>
      </c>
      <c r="AD19">
        <v>61</v>
      </c>
      <c r="AE19">
        <v>116173.38359742193</v>
      </c>
      <c r="AF19" s="47">
        <f t="shared" si="1"/>
        <v>0.36535055850613418</v>
      </c>
    </row>
    <row r="20" spans="2:52" x14ac:dyDescent="0.45">
      <c r="B20" t="s">
        <v>49</v>
      </c>
      <c r="AA20">
        <v>18</v>
      </c>
      <c r="AB20">
        <v>-993223.0018721614</v>
      </c>
      <c r="AC20" s="47">
        <f t="shared" si="0"/>
        <v>7.0949184618626404</v>
      </c>
      <c r="AD20">
        <v>62</v>
      </c>
      <c r="AE20">
        <v>116212.67188529437</v>
      </c>
      <c r="AF20" s="47">
        <f t="shared" si="1"/>
        <v>0.36581230184293223</v>
      </c>
    </row>
    <row r="21" spans="2:52" x14ac:dyDescent="0.45">
      <c r="B21" s="2" t="s">
        <v>50</v>
      </c>
      <c r="C21" s="15">
        <f>Dashboard!M8</f>
        <v>1128000</v>
      </c>
      <c r="M21" t="s">
        <v>73</v>
      </c>
      <c r="N21" t="s">
        <v>72</v>
      </c>
      <c r="AA21">
        <v>19</v>
      </c>
      <c r="AB21">
        <v>-1072443.5403694729</v>
      </c>
      <c r="AC21" s="47">
        <f t="shared" si="0"/>
        <v>7.58105573590466</v>
      </c>
      <c r="AD21">
        <v>63</v>
      </c>
      <c r="AE21">
        <v>116237.48814589996</v>
      </c>
      <c r="AF21" s="47">
        <f t="shared" si="1"/>
        <v>0.3661039598305767</v>
      </c>
    </row>
    <row r="22" spans="2:52" x14ac:dyDescent="0.45">
      <c r="B22" t="s">
        <v>51</v>
      </c>
      <c r="C22">
        <f>C15/(SUM(C15:C21))</f>
        <v>0.35891155703204991</v>
      </c>
      <c r="F22" s="4"/>
      <c r="G22" s="4" t="s">
        <v>109</v>
      </c>
      <c r="H22" s="4" t="s">
        <v>110</v>
      </c>
      <c r="M22" s="23">
        <f>H14*D7</f>
        <v>3173333.3333333395</v>
      </c>
      <c r="O22" s="23">
        <f>M22-O10</f>
        <v>2424285.7583364616</v>
      </c>
      <c r="P22">
        <f>C11*D7</f>
        <v>2387933.3333333381</v>
      </c>
      <c r="Q22" s="23"/>
      <c r="AA22">
        <v>20</v>
      </c>
      <c r="AB22">
        <v>-1151712.9003996318</v>
      </c>
      <c r="AC22" s="47">
        <f t="shared" si="0"/>
        <v>8.0674926035538821</v>
      </c>
      <c r="AD22">
        <v>64</v>
      </c>
      <c r="AE22">
        <v>116252.92461462365</v>
      </c>
      <c r="AF22" s="47">
        <f t="shared" si="1"/>
        <v>0.36628537996779414</v>
      </c>
    </row>
    <row r="23" spans="2:52" x14ac:dyDescent="0.45">
      <c r="F23" s="5" t="s">
        <v>52</v>
      </c>
      <c r="G23" s="6">
        <v>2278113.2435066095</v>
      </c>
      <c r="H23" s="6">
        <v>6279775.8420309713</v>
      </c>
      <c r="I23" s="13">
        <f>Dashboard!C5</f>
        <v>836879.43262411503</v>
      </c>
      <c r="J23" s="13"/>
    </row>
    <row r="24" spans="2:52" ht="14.45" customHeight="1" x14ac:dyDescent="0.45">
      <c r="B24" s="2" t="s">
        <v>125</v>
      </c>
      <c r="C24" s="2">
        <f>C35</f>
        <v>1061.0640832373822</v>
      </c>
      <c r="F24" s="5" t="s">
        <v>53</v>
      </c>
      <c r="G24" s="6">
        <f>G23*1.03/1000000</f>
        <v>2.3464566408118079</v>
      </c>
      <c r="H24" s="6">
        <f>H23*1.03/1000000</f>
        <v>6.4681691172919002</v>
      </c>
      <c r="I24" s="6">
        <f>I23*1.03/1000000</f>
        <v>0.86198581560283849</v>
      </c>
      <c r="J24" s="13"/>
    </row>
    <row r="25" spans="2:52" ht="14.45" customHeight="1" x14ac:dyDescent="0.45">
      <c r="B25" s="2" t="s">
        <v>126</v>
      </c>
      <c r="C25" s="2">
        <f>Dashboard!H7</f>
        <v>22.104700000000001</v>
      </c>
      <c r="F25" s="5" t="s">
        <v>54</v>
      </c>
      <c r="G25" s="6">
        <f>G24*0.47/1.03</f>
        <v>1.0707132244481063</v>
      </c>
      <c r="H25" s="6">
        <f>H24*0.47/1.03</f>
        <v>2.9514946457545559</v>
      </c>
      <c r="I25" s="6">
        <f>I24*0.47/1.03</f>
        <v>0.39333333333333403</v>
      </c>
      <c r="J25" s="13"/>
    </row>
    <row r="26" spans="2:52" ht="14.45" customHeight="1" x14ac:dyDescent="0.45">
      <c r="B26" t="s">
        <v>127</v>
      </c>
      <c r="C26">
        <f>(C25*D7)/1000</f>
        <v>1753.6395333333369</v>
      </c>
      <c r="F26" s="5" t="s">
        <v>141</v>
      </c>
      <c r="G26" s="6">
        <f>G25*238/118</f>
        <v>2.1595741306665195</v>
      </c>
      <c r="H26" s="6">
        <f>H25*238/118</f>
        <v>5.9530146244880022</v>
      </c>
      <c r="I26" s="6">
        <f>I25*238/118</f>
        <v>0.79333333333333478</v>
      </c>
      <c r="J26" s="13"/>
    </row>
    <row r="27" spans="2:52" ht="14.45" customHeight="1" x14ac:dyDescent="0.45">
      <c r="B27" s="2" t="s">
        <v>55</v>
      </c>
      <c r="C27" s="2">
        <f>Dashboard!H6</f>
        <v>0.1618</v>
      </c>
      <c r="F27" s="5" t="s">
        <v>56</v>
      </c>
      <c r="G27" s="6">
        <f>G26*1000/150</f>
        <v>14.397160871110129</v>
      </c>
      <c r="H27" s="6">
        <f>H26*1000/150</f>
        <v>39.686764163253351</v>
      </c>
      <c r="I27" s="6">
        <f>I26*1000/150</f>
        <v>5.2888888888888985</v>
      </c>
      <c r="J27" s="13"/>
      <c r="N27" t="s">
        <v>87</v>
      </c>
      <c r="O27" t="s">
        <v>32</v>
      </c>
      <c r="P27" t="s">
        <v>33</v>
      </c>
      <c r="Q27" t="s">
        <v>69</v>
      </c>
      <c r="T27">
        <f>C35</f>
        <v>1061.0640832373822</v>
      </c>
      <c r="U27">
        <v>0.1</v>
      </c>
      <c r="V27">
        <v>0.2</v>
      </c>
      <c r="W27">
        <v>0.3</v>
      </c>
      <c r="X27">
        <v>0.4</v>
      </c>
      <c r="Y27">
        <v>0.5</v>
      </c>
      <c r="Z27">
        <v>0.6</v>
      </c>
      <c r="AA27">
        <v>0.7</v>
      </c>
      <c r="AB27">
        <v>0.8</v>
      </c>
      <c r="AC27">
        <v>0.9</v>
      </c>
      <c r="AD27">
        <v>1</v>
      </c>
      <c r="AH27">
        <f>C24</f>
        <v>1061.0640832373822</v>
      </c>
      <c r="AI27">
        <f>C26</f>
        <v>1753.6395333333369</v>
      </c>
      <c r="AM27" s="23"/>
      <c r="AO27" s="23">
        <f>Q10</f>
        <v>36352.42500312347</v>
      </c>
      <c r="AP27">
        <f>C31</f>
        <v>692.57545009595469</v>
      </c>
      <c r="AQ27" s="23"/>
      <c r="AS27">
        <f>O10</f>
        <v>749047.57499687793</v>
      </c>
      <c r="AT27" s="23">
        <f>P10</f>
        <v>785400.0000000014</v>
      </c>
      <c r="AX27">
        <f>O10</f>
        <v>749047.57499687793</v>
      </c>
      <c r="AY27" s="23">
        <f>P10</f>
        <v>785400.0000000014</v>
      </c>
      <c r="AZ27" s="23">
        <f>Q10</f>
        <v>36352.42500312347</v>
      </c>
    </row>
    <row r="28" spans="2:52" ht="14.45" customHeight="1" x14ac:dyDescent="0.45">
      <c r="B28" s="2" t="s">
        <v>57</v>
      </c>
      <c r="C28" s="2">
        <f>Dashboard!C8</f>
        <v>3000</v>
      </c>
      <c r="F28" s="5" t="s">
        <v>58</v>
      </c>
      <c r="G28" s="6">
        <f>0.45*G27</f>
        <v>6.4787223919995585</v>
      </c>
      <c r="H28" s="6">
        <f>0.45*H27</f>
        <v>17.859043873464007</v>
      </c>
      <c r="I28" s="6">
        <f>0.45*I27</f>
        <v>2.3800000000000043</v>
      </c>
      <c r="J28" s="13"/>
      <c r="O28" s="20">
        <f>O10</f>
        <v>749047.57499687793</v>
      </c>
      <c r="P28" s="20">
        <f>P10</f>
        <v>785400.0000000014</v>
      </c>
      <c r="Q28" s="20">
        <f>Q10</f>
        <v>36352.42500312347</v>
      </c>
      <c r="T28">
        <v>100</v>
      </c>
      <c r="U28" s="19">
        <f t="dataTable" ref="U28:AD127" dt2D="1" dtr="1" r1="C22" r2="C28"/>
        <v>270.81733366022274</v>
      </c>
      <c r="V28">
        <v>541.63466732044549</v>
      </c>
      <c r="W28">
        <v>812.45200098066812</v>
      </c>
      <c r="X28">
        <v>1083.269334640891</v>
      </c>
      <c r="Y28">
        <v>1354.0866683011136</v>
      </c>
      <c r="Z28">
        <v>1624.9040019613362</v>
      </c>
      <c r="AA28">
        <v>1895.7213356215591</v>
      </c>
      <c r="AB28">
        <v>2166.5386692817819</v>
      </c>
      <c r="AC28">
        <v>2437.3560029420046</v>
      </c>
      <c r="AD28">
        <v>2708.1733366022272</v>
      </c>
      <c r="AG28">
        <v>100</v>
      </c>
      <c r="AH28">
        <f t="dataTable" ref="AH28:AI127" dt2D="0" dtr="0" r1="C28" ca="1"/>
        <v>971.99470895258719</v>
      </c>
      <c r="AI28">
        <v>1753.6395333333369</v>
      </c>
      <c r="AL28" s="23"/>
      <c r="AN28">
        <v>20</v>
      </c>
      <c r="AO28" s="20">
        <f t="dataTable" ref="AO28:AP58" dt2D="0" dtr="0" r1="H7" ca="1"/>
        <v>-30685.173419426079</v>
      </c>
      <c r="AP28" s="46">
        <v>746.38797097401209</v>
      </c>
      <c r="AR28">
        <v>1</v>
      </c>
      <c r="AS28">
        <f t="dataTable" ref="AS28:AT62" dt2D="0" dtr="0" r1="D3" ca="1"/>
        <v>844574.13903287123</v>
      </c>
      <c r="AT28">
        <v>1007533.3333333356</v>
      </c>
      <c r="AW28">
        <v>20</v>
      </c>
      <c r="AX28">
        <f t="dataTable" ref="AX28:AZ58" dt2D="0" dtr="0" r1="H7" ca="1"/>
        <v>816085.17341942748</v>
      </c>
      <c r="AY28">
        <v>785400.0000000014</v>
      </c>
      <c r="AZ28">
        <v>-30685.173419426079</v>
      </c>
    </row>
    <row r="29" spans="2:52" x14ac:dyDescent="0.45">
      <c r="B29" t="s">
        <v>59</v>
      </c>
      <c r="C29">
        <f>C27*C28*(Dashboard!H10/1000)</f>
        <v>256722.66666666712</v>
      </c>
      <c r="N29">
        <v>0.1</v>
      </c>
      <c r="O29" s="20">
        <f t="dataTable" ref="O29:Q48" dt2D="0" dtr="0" r1="M3" ca="1"/>
        <v>389064.75749968825</v>
      </c>
      <c r="P29" s="20">
        <v>785400.0000000014</v>
      </c>
      <c r="Q29" s="20">
        <v>396335.24250031315</v>
      </c>
      <c r="T29">
        <v>200</v>
      </c>
      <c r="U29" s="19">
        <v>271.67307588244495</v>
      </c>
      <c r="V29">
        <v>543.3461517648899</v>
      </c>
      <c r="W29">
        <v>815.01922764733479</v>
      </c>
      <c r="X29">
        <v>1086.6923035297798</v>
      </c>
      <c r="Y29">
        <v>1358.3653794122247</v>
      </c>
      <c r="Z29">
        <v>1630.0384552946696</v>
      </c>
      <c r="AA29">
        <v>1901.7115311771145</v>
      </c>
      <c r="AB29">
        <v>2173.3846070595596</v>
      </c>
      <c r="AC29">
        <v>2445.0576829420042</v>
      </c>
      <c r="AD29">
        <v>2716.7307588244494</v>
      </c>
      <c r="AG29">
        <v>200</v>
      </c>
      <c r="AH29">
        <v>975.06606668654558</v>
      </c>
      <c r="AI29">
        <v>1753.6395333333369</v>
      </c>
      <c r="AL29" s="23"/>
      <c r="AN29">
        <v>21</v>
      </c>
      <c r="AO29" s="20">
        <v>10954.232439535437</v>
      </c>
      <c r="AP29" s="46">
        <v>713.74054708948233</v>
      </c>
      <c r="AR29">
        <v>2</v>
      </c>
      <c r="AS29">
        <v>805171.7249299112</v>
      </c>
      <c r="AT29">
        <v>928200.0000000021</v>
      </c>
      <c r="AW29">
        <v>21</v>
      </c>
      <c r="AX29">
        <v>774445.76756046596</v>
      </c>
      <c r="AY29">
        <v>785400.0000000014</v>
      </c>
      <c r="AZ29">
        <v>10954.232439535437</v>
      </c>
    </row>
    <row r="30" spans="2:52" x14ac:dyDescent="0.45">
      <c r="B30" s="2" t="s">
        <v>60</v>
      </c>
      <c r="C30" s="2">
        <v>161.80000000000001</v>
      </c>
      <c r="N30">
        <v>0.2</v>
      </c>
      <c r="O30" s="20">
        <v>429062.84833270934</v>
      </c>
      <c r="P30" s="20">
        <v>785400.0000000014</v>
      </c>
      <c r="Q30" s="20">
        <v>356337.15166729206</v>
      </c>
      <c r="T30">
        <v>300</v>
      </c>
      <c r="U30" s="19">
        <v>272.52881810466721</v>
      </c>
      <c r="V30">
        <v>545.05763620933442</v>
      </c>
      <c r="W30">
        <v>817.58645431400146</v>
      </c>
      <c r="X30">
        <v>1090.1152724186688</v>
      </c>
      <c r="Y30">
        <v>1362.6440905233358</v>
      </c>
      <c r="Z30">
        <v>1635.1729086280029</v>
      </c>
      <c r="AA30">
        <v>1907.7017267326701</v>
      </c>
      <c r="AB30">
        <v>2180.2305448373377</v>
      </c>
      <c r="AC30">
        <v>2452.7593629420044</v>
      </c>
      <c r="AD30">
        <v>2725.2881810466715</v>
      </c>
      <c r="AG30">
        <v>300</v>
      </c>
      <c r="AH30">
        <v>978.13742442050398</v>
      </c>
      <c r="AI30">
        <v>1753.6395333333369</v>
      </c>
      <c r="AL30" s="23"/>
      <c r="AN30">
        <v>22</v>
      </c>
      <c r="AO30" s="20">
        <v>48351.872651329963</v>
      </c>
      <c r="AP30" s="46">
        <v>682.16880142237596</v>
      </c>
      <c r="AR30">
        <v>3</v>
      </c>
      <c r="AS30">
        <v>771732.3077969891</v>
      </c>
      <c r="AT30">
        <v>848866.66666666861</v>
      </c>
      <c r="AW30">
        <v>22</v>
      </c>
      <c r="AX30">
        <v>737048.12734867143</v>
      </c>
      <c r="AY30">
        <v>785400.0000000014</v>
      </c>
      <c r="AZ30">
        <v>48351.872651329963</v>
      </c>
    </row>
    <row r="31" spans="2:52" x14ac:dyDescent="0.45">
      <c r="B31" t="s">
        <v>61</v>
      </c>
      <c r="C31">
        <f>(C26-C24)</f>
        <v>692.57545009595469</v>
      </c>
      <c r="F31" t="s">
        <v>74</v>
      </c>
      <c r="N31">
        <v>0.3</v>
      </c>
      <c r="O31" s="20">
        <v>469060.93916573038</v>
      </c>
      <c r="P31" s="20">
        <v>785400.0000000014</v>
      </c>
      <c r="Q31" s="20">
        <v>316339.06083427102</v>
      </c>
      <c r="T31">
        <v>400</v>
      </c>
      <c r="U31" s="19">
        <v>273.38456032688941</v>
      </c>
      <c r="V31">
        <v>546.76912065377883</v>
      </c>
      <c r="W31">
        <v>820.15368098066813</v>
      </c>
      <c r="X31">
        <v>1093.5382413075577</v>
      </c>
      <c r="Y31">
        <v>1366.9228016344468</v>
      </c>
      <c r="Z31">
        <v>1640.3073619613363</v>
      </c>
      <c r="AA31">
        <v>1913.6919222882254</v>
      </c>
      <c r="AB31">
        <v>2187.0764826151153</v>
      </c>
      <c r="AC31">
        <v>2460.461042942005</v>
      </c>
      <c r="AD31">
        <v>2733.8456032688937</v>
      </c>
      <c r="AG31">
        <v>400</v>
      </c>
      <c r="AH31">
        <v>981.20878215446248</v>
      </c>
      <c r="AI31">
        <v>1753.6395333333369</v>
      </c>
      <c r="AL31" s="23"/>
      <c r="AN31">
        <v>23</v>
      </c>
      <c r="AO31" s="20">
        <v>81625.077115715598</v>
      </c>
      <c r="AP31" s="46">
        <v>651.62043288225073</v>
      </c>
      <c r="AR31">
        <v>4</v>
      </c>
      <c r="AS31">
        <v>743911.87837839639</v>
      </c>
      <c r="AT31">
        <v>769533.33333333512</v>
      </c>
      <c r="AW31">
        <v>23</v>
      </c>
      <c r="AX31">
        <v>703774.9228842858</v>
      </c>
      <c r="AY31">
        <v>785400.0000000014</v>
      </c>
      <c r="AZ31">
        <v>81625.077115715598</v>
      </c>
    </row>
    <row r="32" spans="2:52" x14ac:dyDescent="0.45">
      <c r="F32" t="s">
        <v>75</v>
      </c>
      <c r="G32" s="27"/>
      <c r="H32" s="19"/>
      <c r="I32" s="19">
        <f>C29</f>
        <v>256722.66666666712</v>
      </c>
      <c r="J32" s="26">
        <f>I32/$I$42</f>
        <v>8.6838046334405547E-2</v>
      </c>
      <c r="N32">
        <v>0.4</v>
      </c>
      <c r="O32" s="20">
        <v>509059.02999875147</v>
      </c>
      <c r="P32" s="20">
        <v>785400.0000000014</v>
      </c>
      <c r="Q32" s="20">
        <v>276340.97000124992</v>
      </c>
      <c r="T32">
        <v>500</v>
      </c>
      <c r="U32" s="19">
        <v>274.24030254911162</v>
      </c>
      <c r="V32">
        <v>548.48060509822324</v>
      </c>
      <c r="W32">
        <v>822.7209076473348</v>
      </c>
      <c r="X32">
        <v>1096.9612101964465</v>
      </c>
      <c r="Y32">
        <v>1371.2015127455581</v>
      </c>
      <c r="Z32">
        <v>1645.4418152946696</v>
      </c>
      <c r="AA32">
        <v>1919.682117843781</v>
      </c>
      <c r="AB32">
        <v>2193.9224203928929</v>
      </c>
      <c r="AC32">
        <v>2468.1627229420046</v>
      </c>
      <c r="AD32">
        <v>2742.4030254911163</v>
      </c>
      <c r="AG32">
        <v>500</v>
      </c>
      <c r="AH32">
        <v>984.28013988842099</v>
      </c>
      <c r="AI32">
        <v>1753.6395333333369</v>
      </c>
      <c r="AL32" s="23"/>
      <c r="AN32">
        <v>24</v>
      </c>
      <c r="AO32" s="20">
        <v>110943.77633408178</v>
      </c>
      <c r="AP32" s="46">
        <v>622.04647691298214</v>
      </c>
      <c r="AR32">
        <v>5</v>
      </c>
      <c r="AS32">
        <v>721237.62880133605</v>
      </c>
      <c r="AT32">
        <v>690200.00000000163</v>
      </c>
      <c r="AW32">
        <v>24</v>
      </c>
      <c r="AX32">
        <v>674456.22366591962</v>
      </c>
      <c r="AY32">
        <v>785400.0000000014</v>
      </c>
      <c r="AZ32">
        <v>110943.77633408178</v>
      </c>
    </row>
    <row r="33" spans="2:52" x14ac:dyDescent="0.45">
      <c r="F33" t="s">
        <v>76</v>
      </c>
      <c r="G33" s="27"/>
      <c r="H33">
        <f>1046.01863013699/(150.013599883925*1000)</f>
        <v>6.9728253368118668E-3</v>
      </c>
      <c r="I33" s="19">
        <f>H33*$D$7</f>
        <v>553.17747672040923</v>
      </c>
      <c r="J33" s="26">
        <f t="shared" ref="J33:J41" si="3">I33/$I$42</f>
        <v>1.8711573846717737E-4</v>
      </c>
      <c r="N33">
        <v>0.5</v>
      </c>
      <c r="O33" s="20">
        <v>549057.12083177245</v>
      </c>
      <c r="P33" s="20">
        <v>785400.0000000014</v>
      </c>
      <c r="Q33" s="20">
        <v>236342.87916822894</v>
      </c>
      <c r="T33">
        <v>600</v>
      </c>
      <c r="U33" s="19">
        <v>275.09604477133388</v>
      </c>
      <c r="V33">
        <v>550.19208954266776</v>
      </c>
      <c r="W33">
        <v>825.28813431400147</v>
      </c>
      <c r="X33">
        <v>1100.3841790853355</v>
      </c>
      <c r="Y33">
        <v>1375.4802238566692</v>
      </c>
      <c r="Z33">
        <v>1650.5762686280029</v>
      </c>
      <c r="AA33">
        <v>1925.6723133993369</v>
      </c>
      <c r="AB33">
        <v>2200.768358170671</v>
      </c>
      <c r="AC33">
        <v>2475.8644029420047</v>
      </c>
      <c r="AD33">
        <v>2750.9604477133385</v>
      </c>
      <c r="AG33">
        <v>600</v>
      </c>
      <c r="AH33">
        <v>987.35149762237938</v>
      </c>
      <c r="AI33">
        <v>1753.6395333333369</v>
      </c>
      <c r="AL33" s="23"/>
      <c r="AN33">
        <v>25</v>
      </c>
      <c r="AO33" s="20">
        <v>136523.14667250193</v>
      </c>
      <c r="AP33" s="46">
        <v>593.40104360290115</v>
      </c>
      <c r="AR33">
        <v>6</v>
      </c>
      <c r="AS33">
        <v>703145.63684906764</v>
      </c>
      <c r="AT33">
        <v>610866.66666666814</v>
      </c>
      <c r="AW33">
        <v>25</v>
      </c>
      <c r="AX33">
        <v>648876.85332749947</v>
      </c>
      <c r="AY33">
        <v>785400.0000000014</v>
      </c>
      <c r="AZ33">
        <v>136523.14667250193</v>
      </c>
    </row>
    <row r="34" spans="2:52" x14ac:dyDescent="0.45">
      <c r="B34" t="s">
        <v>128</v>
      </c>
      <c r="C34">
        <v>34.028772029999999</v>
      </c>
      <c r="F34" t="s">
        <v>77</v>
      </c>
      <c r="G34" s="27"/>
      <c r="H34">
        <f>622.843589189189/(150.013599883925*1000)</f>
        <v>4.1519141575905279E-3</v>
      </c>
      <c r="I34" s="19">
        <f t="shared" ref="I34:I41" si="4">H34*$D$7</f>
        <v>329.38518983551586</v>
      </c>
      <c r="J34" s="26">
        <f t="shared" si="3"/>
        <v>1.1141659888545139E-4</v>
      </c>
      <c r="N34">
        <v>0.6</v>
      </c>
      <c r="O34" s="20">
        <v>589055.21166479355</v>
      </c>
      <c r="P34" s="20">
        <v>785400.0000000014</v>
      </c>
      <c r="Q34" s="20">
        <v>196344.78833520785</v>
      </c>
      <c r="T34">
        <v>700</v>
      </c>
      <c r="U34" s="19">
        <v>275.95178699355614</v>
      </c>
      <c r="V34">
        <v>551.90357398711228</v>
      </c>
      <c r="W34">
        <v>827.85536098066825</v>
      </c>
      <c r="X34">
        <v>1103.8071479742246</v>
      </c>
      <c r="Y34">
        <v>1379.7589349677805</v>
      </c>
      <c r="Z34">
        <v>1655.7107219613365</v>
      </c>
      <c r="AA34">
        <v>1931.6625089548927</v>
      </c>
      <c r="AB34">
        <v>2207.6142959484491</v>
      </c>
      <c r="AC34">
        <v>2483.5660829420049</v>
      </c>
      <c r="AD34">
        <v>2759.5178699355611</v>
      </c>
      <c r="AG34">
        <v>700</v>
      </c>
      <c r="AH34">
        <v>990.422855356338</v>
      </c>
      <c r="AI34">
        <v>1753.6395333333369</v>
      </c>
      <c r="AL34" s="23"/>
      <c r="AN34">
        <v>26</v>
      </c>
      <c r="AO34" s="20">
        <v>158614.97884660331</v>
      </c>
      <c r="AP34" s="46">
        <v>565.641080081057</v>
      </c>
      <c r="AR34">
        <v>7</v>
      </c>
      <c r="AS34">
        <v>689021.2941994383</v>
      </c>
      <c r="AT34">
        <v>531533.33333333465</v>
      </c>
      <c r="AW34">
        <v>26</v>
      </c>
      <c r="AX34">
        <v>626785.02115339809</v>
      </c>
      <c r="AY34">
        <v>785400.0000000014</v>
      </c>
      <c r="AZ34">
        <v>158614.97884660331</v>
      </c>
    </row>
    <row r="35" spans="2:52" x14ac:dyDescent="0.45">
      <c r="B35" t="s">
        <v>129</v>
      </c>
      <c r="C35">
        <f>(((C34*D7)+C29)*C22)/1000</f>
        <v>1061.0640832373822</v>
      </c>
      <c r="F35" t="s">
        <v>78</v>
      </c>
      <c r="G35" s="27"/>
      <c r="H35">
        <f>142176.261926984/(150.013599883925*1000)</f>
        <v>0.94775581705255241</v>
      </c>
      <c r="I35" s="19">
        <f t="shared" si="4"/>
        <v>75188.628152835969</v>
      </c>
      <c r="J35" s="26">
        <f t="shared" si="3"/>
        <v>2.5433023348242257E-2</v>
      </c>
      <c r="N35">
        <v>0.7</v>
      </c>
      <c r="O35" s="20">
        <v>629053.30249781464</v>
      </c>
      <c r="P35" s="20">
        <v>785400.0000000014</v>
      </c>
      <c r="Q35" s="20">
        <v>156346.69750218675</v>
      </c>
      <c r="T35">
        <v>800</v>
      </c>
      <c r="U35" s="19">
        <v>276.80752921577835</v>
      </c>
      <c r="V35">
        <v>553.61505843155669</v>
      </c>
      <c r="W35">
        <v>830.42258764733492</v>
      </c>
      <c r="X35">
        <v>1107.2301168631134</v>
      </c>
      <c r="Y35">
        <v>1384.0376460788916</v>
      </c>
      <c r="Z35">
        <v>1660.8451752946698</v>
      </c>
      <c r="AA35">
        <v>1937.6527045104481</v>
      </c>
      <c r="AB35">
        <v>2214.4602337262268</v>
      </c>
      <c r="AC35">
        <v>2491.267762942005</v>
      </c>
      <c r="AD35">
        <v>2768.0752921577832</v>
      </c>
      <c r="AG35">
        <v>800</v>
      </c>
      <c r="AH35">
        <v>993.4942130902964</v>
      </c>
      <c r="AI35">
        <v>1753.6395333333369</v>
      </c>
      <c r="AL35" s="23"/>
      <c r="AN35">
        <v>27</v>
      </c>
      <c r="AO35" s="20">
        <v>177498.27777191368</v>
      </c>
      <c r="AP35" s="46">
        <v>538.72615461209443</v>
      </c>
      <c r="AR35">
        <v>8</v>
      </c>
      <c r="AS35">
        <v>678238.18162403605</v>
      </c>
      <c r="AT35">
        <v>452200.00000000111</v>
      </c>
      <c r="AW35">
        <v>27</v>
      </c>
      <c r="AX35">
        <v>607901.72222808772</v>
      </c>
      <c r="AY35">
        <v>785400.0000000014</v>
      </c>
      <c r="AZ35">
        <v>177498.27777191368</v>
      </c>
    </row>
    <row r="36" spans="2:52" x14ac:dyDescent="0.45">
      <c r="F36" t="s">
        <v>79</v>
      </c>
      <c r="G36" s="27"/>
      <c r="H36">
        <f>2217943.875/(150.013599883925*1000)</f>
        <v>14.784952009125595</v>
      </c>
      <c r="I36" s="19">
        <f t="shared" si="4"/>
        <v>1172939.5260572995</v>
      </c>
      <c r="J36" s="26">
        <f t="shared" si="3"/>
        <v>0.39675412472818633</v>
      </c>
      <c r="N36">
        <v>0.8</v>
      </c>
      <c r="O36" s="20">
        <v>669051.39333083574</v>
      </c>
      <c r="P36" s="20">
        <v>785400.0000000014</v>
      </c>
      <c r="Q36" s="20">
        <v>116348.60666916566</v>
      </c>
      <c r="T36">
        <v>900</v>
      </c>
      <c r="U36" s="19">
        <v>277.66327143800055</v>
      </c>
      <c r="V36">
        <v>555.3265428760011</v>
      </c>
      <c r="W36">
        <v>832.98981431400159</v>
      </c>
      <c r="X36">
        <v>1110.6530857520022</v>
      </c>
      <c r="Y36">
        <v>1388.3163571900027</v>
      </c>
      <c r="Z36">
        <v>1665.9796286280032</v>
      </c>
      <c r="AA36">
        <v>1943.6429000660037</v>
      </c>
      <c r="AB36">
        <v>2221.3061715040044</v>
      </c>
      <c r="AC36">
        <v>2498.9694429420051</v>
      </c>
      <c r="AD36">
        <v>2776.6327143800054</v>
      </c>
      <c r="AG36">
        <v>900</v>
      </c>
      <c r="AH36">
        <v>996.56557082425491</v>
      </c>
      <c r="AI36">
        <v>1753.6395333333369</v>
      </c>
      <c r="AL36" s="23"/>
      <c r="AN36">
        <v>28</v>
      </c>
      <c r="AO36" s="20">
        <v>193469.61505379167</v>
      </c>
      <c r="AP36" s="46">
        <v>512.6182601125563</v>
      </c>
      <c r="AR36">
        <v>9</v>
      </c>
      <c r="AS36">
        <v>670191.82209025277</v>
      </c>
      <c r="AT36">
        <v>372866.66666666762</v>
      </c>
      <c r="AW36">
        <v>28</v>
      </c>
      <c r="AX36">
        <v>591930.38494620973</v>
      </c>
      <c r="AY36">
        <v>785400.0000000014</v>
      </c>
      <c r="AZ36">
        <v>193469.61505379167</v>
      </c>
    </row>
    <row r="37" spans="2:52" x14ac:dyDescent="0.45">
      <c r="F37" t="s">
        <v>80</v>
      </c>
      <c r="G37" s="27"/>
      <c r="H37">
        <f>3946.43949579832/(150.013599883925*1000)</f>
        <v>2.6307211471839419E-2</v>
      </c>
      <c r="I37" s="19">
        <f t="shared" si="4"/>
        <v>2087.0387767659313</v>
      </c>
      <c r="J37" s="26">
        <f t="shared" si="3"/>
        <v>7.0595390875172962E-4</v>
      </c>
      <c r="N37">
        <v>0.9</v>
      </c>
      <c r="O37" s="20">
        <v>709049.48416385683</v>
      </c>
      <c r="P37" s="20">
        <v>785400.0000000014</v>
      </c>
      <c r="Q37" s="20">
        <v>76350.515836144565</v>
      </c>
      <c r="T37">
        <v>1000</v>
      </c>
      <c r="U37" s="19">
        <v>278.51901366022275</v>
      </c>
      <c r="V37">
        <v>557.03802732044551</v>
      </c>
      <c r="W37">
        <v>835.55704098066826</v>
      </c>
      <c r="X37">
        <v>1114.076054640891</v>
      </c>
      <c r="Y37">
        <v>1392.5950683011138</v>
      </c>
      <c r="Z37">
        <v>1671.1140819613365</v>
      </c>
      <c r="AA37">
        <v>1949.6330956215591</v>
      </c>
      <c r="AB37">
        <v>2228.152109281782</v>
      </c>
      <c r="AC37">
        <v>2506.6711229420048</v>
      </c>
      <c r="AD37">
        <v>2785.1901366022275</v>
      </c>
      <c r="AG37">
        <v>1000</v>
      </c>
      <c r="AH37">
        <v>999.6369285582133</v>
      </c>
      <c r="AI37">
        <v>1753.6395333333369</v>
      </c>
      <c r="AL37" s="23"/>
      <c r="AN37">
        <v>29</v>
      </c>
      <c r="AO37" s="20">
        <v>206833.72982244228</v>
      </c>
      <c r="AP37" s="46">
        <v>487.28163508053035</v>
      </c>
      <c r="AR37">
        <v>10</v>
      </c>
      <c r="AS37">
        <v>664325.88416199596</v>
      </c>
      <c r="AT37">
        <v>293533.33333333413</v>
      </c>
      <c r="AW37">
        <v>29</v>
      </c>
      <c r="AX37">
        <v>578566.27017755911</v>
      </c>
      <c r="AY37">
        <v>785400.0000000014</v>
      </c>
      <c r="AZ37">
        <v>206833.72982244228</v>
      </c>
    </row>
    <row r="38" spans="2:52" x14ac:dyDescent="0.45">
      <c r="C38">
        <f>150.013599883925*1000</f>
        <v>150013.599883925</v>
      </c>
      <c r="F38" t="s">
        <v>81</v>
      </c>
      <c r="G38" s="27"/>
      <c r="H38">
        <f>378.8661/(150.013599883925*1000)</f>
        <v>2.525545019205943E-3</v>
      </c>
      <c r="I38" s="19">
        <f t="shared" si="4"/>
        <v>200.3599048570052</v>
      </c>
      <c r="J38" s="26">
        <f t="shared" si="3"/>
        <v>6.7772989925041056E-5</v>
      </c>
      <c r="N38">
        <v>1</v>
      </c>
      <c r="O38" s="20">
        <v>749047.57499687793</v>
      </c>
      <c r="P38" s="20">
        <v>785400.0000000014</v>
      </c>
      <c r="Q38" s="20">
        <v>36352.42500312347</v>
      </c>
      <c r="T38">
        <v>1100</v>
      </c>
      <c r="U38">
        <v>279.37475588244496</v>
      </c>
      <c r="V38">
        <v>558.74951176488992</v>
      </c>
      <c r="W38">
        <v>838.12426764733493</v>
      </c>
      <c r="X38">
        <v>1117.4990235297798</v>
      </c>
      <c r="Y38">
        <v>1396.8737794122248</v>
      </c>
      <c r="Z38">
        <v>1676.2485352946699</v>
      </c>
      <c r="AA38">
        <v>1955.6232911771147</v>
      </c>
      <c r="AB38">
        <v>2234.9980470595597</v>
      </c>
      <c r="AC38">
        <v>2514.3728029420049</v>
      </c>
      <c r="AD38">
        <v>2793.7475588244497</v>
      </c>
      <c r="AG38">
        <v>1100</v>
      </c>
      <c r="AH38">
        <v>1002.7082862921717</v>
      </c>
      <c r="AI38">
        <v>1753.6395333333369</v>
      </c>
      <c r="AL38" s="23"/>
      <c r="AN38">
        <v>30</v>
      </c>
      <c r="AO38" s="20">
        <v>217894.81425748277</v>
      </c>
      <c r="AP38" s="46">
        <v>462.68260016437421</v>
      </c>
      <c r="AR38">
        <v>11</v>
      </c>
      <c r="AS38">
        <v>660149.71664691356</v>
      </c>
      <c r="AT38">
        <v>214200.00000000064</v>
      </c>
      <c r="AW38">
        <v>30</v>
      </c>
      <c r="AX38">
        <v>567505.18574251863</v>
      </c>
      <c r="AY38">
        <v>785400.0000000014</v>
      </c>
      <c r="AZ38">
        <v>217894.81425748277</v>
      </c>
    </row>
    <row r="39" spans="2:52" x14ac:dyDescent="0.45">
      <c r="F39" t="s">
        <v>82</v>
      </c>
      <c r="G39" s="27"/>
      <c r="H39">
        <f>479.68758227003/(150.013599883925*1000)</f>
        <v>3.1976272993994854E-3</v>
      </c>
      <c r="I39" s="19">
        <f t="shared" si="4"/>
        <v>253.67843241902634</v>
      </c>
      <c r="J39" s="26">
        <f t="shared" si="3"/>
        <v>8.5808315075838266E-5</v>
      </c>
      <c r="N39">
        <v>1.1000000000000001</v>
      </c>
      <c r="O39" s="20">
        <v>789045.66582989902</v>
      </c>
      <c r="P39" s="20">
        <v>785400.0000000014</v>
      </c>
      <c r="Q39" s="20">
        <v>-3645.6658298976254</v>
      </c>
      <c r="T39">
        <v>1200</v>
      </c>
      <c r="U39">
        <v>280.23049810466722</v>
      </c>
      <c r="V39">
        <v>560.46099620933444</v>
      </c>
      <c r="W39">
        <v>840.69149431400149</v>
      </c>
      <c r="X39">
        <v>1120.9219924186689</v>
      </c>
      <c r="Y39">
        <v>1401.1524905233359</v>
      </c>
      <c r="Z39">
        <v>1681.382988628003</v>
      </c>
      <c r="AA39">
        <v>1961.6134867326703</v>
      </c>
      <c r="AB39">
        <v>2241.8439848373378</v>
      </c>
      <c r="AC39">
        <v>2522.0744829420046</v>
      </c>
      <c r="AD39">
        <v>2802.3049810466719</v>
      </c>
      <c r="AG39">
        <v>1200</v>
      </c>
      <c r="AH39">
        <v>1005.7796440261302</v>
      </c>
      <c r="AI39">
        <v>1753.6395333333369</v>
      </c>
      <c r="AL39" s="23"/>
      <c r="AN39">
        <v>31</v>
      </c>
      <c r="AO39" s="20">
        <v>226948.8347800374</v>
      </c>
      <c r="AP39" s="46">
        <v>438.78940879991364</v>
      </c>
      <c r="AR39">
        <v>12</v>
      </c>
      <c r="AS39">
        <v>657247.32955932873</v>
      </c>
      <c r="AT39">
        <v>134866.66666666715</v>
      </c>
      <c r="AW39">
        <v>31</v>
      </c>
      <c r="AX39">
        <v>558451.16521996399</v>
      </c>
      <c r="AY39">
        <v>785400.0000000014</v>
      </c>
      <c r="AZ39">
        <v>226948.8347800374</v>
      </c>
    </row>
    <row r="40" spans="2:52" x14ac:dyDescent="0.45">
      <c r="F40" t="s">
        <v>108</v>
      </c>
      <c r="G40" s="27"/>
      <c r="H40">
        <f>2654864.61867201/(150.013599883925*1000)</f>
        <v>17.697492898818819</v>
      </c>
      <c r="I40" s="19">
        <f t="shared" si="4"/>
        <v>1404001.1033062958</v>
      </c>
      <c r="J40" s="26">
        <f t="shared" si="3"/>
        <v>0.47491214720347408</v>
      </c>
      <c r="N40">
        <v>1.2</v>
      </c>
      <c r="O40" s="20">
        <v>829043.75666292</v>
      </c>
      <c r="P40" s="20">
        <v>785400.0000000014</v>
      </c>
      <c r="Q40" s="20">
        <v>-43643.756662918604</v>
      </c>
      <c r="T40">
        <v>1300</v>
      </c>
      <c r="U40">
        <v>281.08624032688942</v>
      </c>
      <c r="V40">
        <v>562.17248065377885</v>
      </c>
      <c r="W40">
        <v>843.25872098066816</v>
      </c>
      <c r="X40">
        <v>1124.3449613075577</v>
      </c>
      <c r="Y40">
        <v>1405.431201634447</v>
      </c>
      <c r="Z40">
        <v>1686.5174419613363</v>
      </c>
      <c r="AA40">
        <v>1967.6036822882256</v>
      </c>
      <c r="AB40">
        <v>2248.6899226151154</v>
      </c>
      <c r="AC40">
        <v>2529.7761629420047</v>
      </c>
      <c r="AD40">
        <v>2810.862403268894</v>
      </c>
      <c r="AG40">
        <v>1300</v>
      </c>
      <c r="AH40">
        <v>1008.8510017600886</v>
      </c>
      <c r="AI40">
        <v>1753.6395333333369</v>
      </c>
      <c r="AL40" s="23"/>
      <c r="AN40">
        <v>32</v>
      </c>
      <c r="AO40" s="20">
        <v>234277.13812677888</v>
      </c>
      <c r="AP40" s="46">
        <v>415.57211052320486</v>
      </c>
      <c r="AR40">
        <v>13</v>
      </c>
      <c r="AS40">
        <v>655278.9093790612</v>
      </c>
      <c r="AT40">
        <v>55533.33333333367</v>
      </c>
      <c r="AW40">
        <v>32</v>
      </c>
      <c r="AX40">
        <v>551122.86187322251</v>
      </c>
      <c r="AY40">
        <v>785400.0000000014</v>
      </c>
      <c r="AZ40">
        <v>234277.13812677888</v>
      </c>
    </row>
    <row r="41" spans="2:52" x14ac:dyDescent="0.45">
      <c r="F41" t="s">
        <v>83</v>
      </c>
      <c r="G41" s="27"/>
      <c r="H41">
        <f>83319.9805385762/(150.013599883925*1000)</f>
        <v>0.55541617962002199</v>
      </c>
      <c r="I41" s="19">
        <f t="shared" si="4"/>
        <v>44063.016916521832</v>
      </c>
      <c r="J41" s="26">
        <f t="shared" si="3"/>
        <v>1.4904590834586524E-2</v>
      </c>
      <c r="N41">
        <v>1.3</v>
      </c>
      <c r="O41" s="20">
        <v>869041.84749594121</v>
      </c>
      <c r="P41" s="20">
        <v>785400.0000000014</v>
      </c>
      <c r="Q41" s="20">
        <v>-83641.847495939815</v>
      </c>
      <c r="T41">
        <v>1400</v>
      </c>
      <c r="U41">
        <v>281.94198254911163</v>
      </c>
      <c r="V41">
        <v>563.88396509822326</v>
      </c>
      <c r="W41">
        <v>845.82594764733494</v>
      </c>
      <c r="X41">
        <v>1127.7679301964465</v>
      </c>
      <c r="Y41">
        <v>1409.7099127455581</v>
      </c>
      <c r="Z41">
        <v>1691.6518952946699</v>
      </c>
      <c r="AA41">
        <v>1973.5938778437815</v>
      </c>
      <c r="AB41">
        <v>2255.535860392893</v>
      </c>
      <c r="AC41">
        <v>2537.4778429420048</v>
      </c>
      <c r="AD41">
        <v>2819.4198254911162</v>
      </c>
      <c r="AG41">
        <v>1400</v>
      </c>
      <c r="AH41">
        <v>1011.922359494047</v>
      </c>
      <c r="AI41">
        <v>1753.6395333333369</v>
      </c>
      <c r="AL41" s="23"/>
      <c r="AN41">
        <v>33</v>
      </c>
      <c r="AO41" s="20">
        <v>240141.4835959567</v>
      </c>
      <c r="AP41" s="46">
        <v>393.00242572139246</v>
      </c>
      <c r="AR41">
        <v>14</v>
      </c>
      <c r="AS41">
        <v>653976.56537924951</v>
      </c>
      <c r="AT41">
        <v>-23799.999999999822</v>
      </c>
      <c r="AW41">
        <v>33</v>
      </c>
      <c r="AX41">
        <v>545258.5164040447</v>
      </c>
      <c r="AY41">
        <v>785400.0000000014</v>
      </c>
      <c r="AZ41">
        <v>240141.4835959567</v>
      </c>
    </row>
    <row r="42" spans="2:52" x14ac:dyDescent="0.45">
      <c r="F42" t="s">
        <v>84</v>
      </c>
      <c r="H42" s="19">
        <f>SUM(H32:H41)</f>
        <v>34.028772027901837</v>
      </c>
      <c r="I42" s="19">
        <f>SUM(I32:I41)</f>
        <v>2956338.5808802182</v>
      </c>
      <c r="N42">
        <v>1.4</v>
      </c>
      <c r="O42" s="20">
        <v>909039.93832896207</v>
      </c>
      <c r="P42" s="20">
        <v>785400.0000000014</v>
      </c>
      <c r="Q42" s="20">
        <v>-123639.93832896068</v>
      </c>
      <c r="T42">
        <v>1500</v>
      </c>
      <c r="U42">
        <v>282.79772477133383</v>
      </c>
      <c r="V42">
        <v>565.59544954266767</v>
      </c>
      <c r="W42">
        <v>848.39317431400161</v>
      </c>
      <c r="X42">
        <v>1131.1908990853353</v>
      </c>
      <c r="Y42">
        <v>1413.9886238566694</v>
      </c>
      <c r="Z42">
        <v>1696.7863486280032</v>
      </c>
      <c r="AA42">
        <v>1979.5840733993368</v>
      </c>
      <c r="AB42">
        <v>2262.3817981706707</v>
      </c>
      <c r="AC42">
        <v>2545.179522942005</v>
      </c>
      <c r="AD42">
        <v>2827.9772477133388</v>
      </c>
      <c r="AG42">
        <v>1500</v>
      </c>
      <c r="AH42">
        <v>1014.9937172280054</v>
      </c>
      <c r="AI42">
        <v>1753.6395333333369</v>
      </c>
      <c r="AL42" s="23"/>
      <c r="AN42">
        <v>34</v>
      </c>
      <c r="AO42" s="20">
        <v>244780.53837495507</v>
      </c>
      <c r="AP42" s="46">
        <v>371.05363072033651</v>
      </c>
      <c r="AR42">
        <v>15</v>
      </c>
      <c r="AS42">
        <v>653136.2339429257</v>
      </c>
      <c r="AT42">
        <v>-103133.33333333331</v>
      </c>
      <c r="AW42">
        <v>34</v>
      </c>
      <c r="AX42">
        <v>540619.46162504633</v>
      </c>
      <c r="AY42">
        <v>785400.0000000014</v>
      </c>
      <c r="AZ42">
        <v>244780.53837495507</v>
      </c>
    </row>
    <row r="43" spans="2:52" x14ac:dyDescent="0.45">
      <c r="N43">
        <v>1.5</v>
      </c>
      <c r="O43" s="20">
        <v>949038.02916198317</v>
      </c>
      <c r="P43" s="20">
        <v>785400.0000000014</v>
      </c>
      <c r="Q43" s="20">
        <v>-163638.02916198177</v>
      </c>
      <c r="T43">
        <v>1600</v>
      </c>
      <c r="U43">
        <v>283.65346699355609</v>
      </c>
      <c r="V43">
        <v>567.30693398711219</v>
      </c>
      <c r="W43">
        <v>850.96040098066828</v>
      </c>
      <c r="X43">
        <v>1134.6138679742244</v>
      </c>
      <c r="Y43">
        <v>1418.2673349677805</v>
      </c>
      <c r="Z43">
        <v>1701.9208019613366</v>
      </c>
      <c r="AA43">
        <v>1985.5742689548924</v>
      </c>
      <c r="AB43">
        <v>2269.2277359484488</v>
      </c>
      <c r="AC43">
        <v>2552.8812029420051</v>
      </c>
      <c r="AD43">
        <v>2836.5346699355609</v>
      </c>
      <c r="AG43">
        <v>1600</v>
      </c>
      <c r="AH43">
        <v>1018.0650749619639</v>
      </c>
      <c r="AI43">
        <v>1753.6395333333369</v>
      </c>
      <c r="AL43" s="23"/>
      <c r="AN43">
        <v>35</v>
      </c>
      <c r="AO43" s="20">
        <v>248407.78021890821</v>
      </c>
      <c r="AP43" s="46">
        <v>349.70045222724639</v>
      </c>
      <c r="AR43">
        <v>16</v>
      </c>
      <c r="AS43">
        <v>652607.57662956556</v>
      </c>
      <c r="AT43">
        <v>-182466.66666666736</v>
      </c>
      <c r="AW43">
        <v>35</v>
      </c>
      <c r="AX43">
        <v>536992.21978109318</v>
      </c>
      <c r="AY43">
        <v>785400.0000000014</v>
      </c>
      <c r="AZ43">
        <v>248407.78021890821</v>
      </c>
    </row>
    <row r="44" spans="2:52" x14ac:dyDescent="0.45">
      <c r="N44">
        <v>1.6</v>
      </c>
      <c r="O44" s="20">
        <v>989036.11999500438</v>
      </c>
      <c r="P44" s="20">
        <v>785400.0000000014</v>
      </c>
      <c r="Q44" s="20">
        <v>-203636.11999500298</v>
      </c>
      <c r="T44">
        <v>1700</v>
      </c>
      <c r="U44">
        <v>284.50920921577836</v>
      </c>
      <c r="V44">
        <v>569.01841843155671</v>
      </c>
      <c r="W44">
        <v>853.52762764733484</v>
      </c>
      <c r="X44">
        <v>1138.0368368631134</v>
      </c>
      <c r="Y44">
        <v>1422.5460460788915</v>
      </c>
      <c r="Z44">
        <v>1707.0552552946697</v>
      </c>
      <c r="AA44">
        <v>1991.564464510448</v>
      </c>
      <c r="AB44">
        <v>2276.0736737262268</v>
      </c>
      <c r="AC44">
        <v>2560.5828829420047</v>
      </c>
      <c r="AD44">
        <v>2845.0920921577831</v>
      </c>
      <c r="AG44">
        <v>1700</v>
      </c>
      <c r="AH44">
        <v>1021.1364326959223</v>
      </c>
      <c r="AI44">
        <v>1753.6395333333369</v>
      </c>
      <c r="AL44" s="23"/>
      <c r="AN44">
        <v>36</v>
      </c>
      <c r="AO44" s="20">
        <v>251210.67685367912</v>
      </c>
      <c r="AP44" s="46">
        <v>328.91897025169828</v>
      </c>
      <c r="AR44">
        <v>17</v>
      </c>
      <c r="AS44">
        <v>652283.39557467378</v>
      </c>
      <c r="AT44">
        <v>-261800.00000000084</v>
      </c>
      <c r="AW44">
        <v>36</v>
      </c>
      <c r="AX44">
        <v>534189.32314632228</v>
      </c>
      <c r="AY44">
        <v>785400.0000000014</v>
      </c>
      <c r="AZ44">
        <v>251210.67685367912</v>
      </c>
    </row>
    <row r="45" spans="2:52" x14ac:dyDescent="0.45">
      <c r="N45">
        <v>1.7</v>
      </c>
      <c r="O45" s="20">
        <v>1029034.2108280254</v>
      </c>
      <c r="P45" s="20">
        <v>785400.0000000014</v>
      </c>
      <c r="Q45" s="20">
        <v>-243634.21082802396</v>
      </c>
      <c r="T45">
        <v>1800</v>
      </c>
      <c r="U45">
        <v>285.36495143800056</v>
      </c>
      <c r="V45">
        <v>570.72990287600112</v>
      </c>
      <c r="W45">
        <v>856.09485431400151</v>
      </c>
      <c r="X45">
        <v>1141.4598057520022</v>
      </c>
      <c r="Y45">
        <v>1426.8247571900026</v>
      </c>
      <c r="Z45">
        <v>1712.189708628003</v>
      </c>
      <c r="AA45">
        <v>1997.5546600660034</v>
      </c>
      <c r="AB45">
        <v>2282.9196115040045</v>
      </c>
      <c r="AC45">
        <v>2568.2845629420049</v>
      </c>
      <c r="AD45">
        <v>2853.6495143800053</v>
      </c>
      <c r="AG45">
        <v>1800</v>
      </c>
      <c r="AH45">
        <v>1024.2077904298808</v>
      </c>
      <c r="AI45">
        <v>1753.6395333333369</v>
      </c>
      <c r="AL45" s="23"/>
      <c r="AN45">
        <v>37</v>
      </c>
      <c r="AO45" s="20">
        <v>253350.95779491868</v>
      </c>
      <c r="AP45" s="46">
        <v>308.68652872103803</v>
      </c>
      <c r="AR45">
        <v>18</v>
      </c>
      <c r="AS45">
        <v>652089.6685388271</v>
      </c>
      <c r="AT45">
        <v>-341133.33333333436</v>
      </c>
      <c r="AW45">
        <v>37</v>
      </c>
      <c r="AX45">
        <v>532049.04220508272</v>
      </c>
      <c r="AY45">
        <v>785400.0000000014</v>
      </c>
      <c r="AZ45">
        <v>253350.95779491868</v>
      </c>
    </row>
    <row r="46" spans="2:52" x14ac:dyDescent="0.45">
      <c r="N46">
        <v>1.8</v>
      </c>
      <c r="O46" s="20">
        <v>1069032.3016610465</v>
      </c>
      <c r="P46" s="20">
        <v>785400.0000000014</v>
      </c>
      <c r="Q46" s="20">
        <v>-283632.30166104506</v>
      </c>
      <c r="T46">
        <v>1900</v>
      </c>
      <c r="U46">
        <v>286.22069366022276</v>
      </c>
      <c r="V46">
        <v>572.44138732044553</v>
      </c>
      <c r="W46">
        <v>858.66208098066818</v>
      </c>
      <c r="X46">
        <v>1144.8827746408911</v>
      </c>
      <c r="Y46">
        <v>1431.1034683011137</v>
      </c>
      <c r="Z46">
        <v>1717.3241619613364</v>
      </c>
      <c r="AA46">
        <v>2003.544855621559</v>
      </c>
      <c r="AB46">
        <v>2289.7655492817821</v>
      </c>
      <c r="AC46">
        <v>2575.986242942005</v>
      </c>
      <c r="AD46">
        <v>2862.2069366022274</v>
      </c>
      <c r="AG46">
        <v>1900</v>
      </c>
      <c r="AH46">
        <v>1027.2791481638392</v>
      </c>
      <c r="AI46">
        <v>1753.6395333333369</v>
      </c>
      <c r="AL46" s="23"/>
      <c r="AN46">
        <v>38</v>
      </c>
      <c r="AO46" s="20">
        <v>254965.76275199174</v>
      </c>
      <c r="AP46" s="46">
        <v>288.98165308796342</v>
      </c>
      <c r="AR46">
        <v>19</v>
      </c>
      <c r="AS46">
        <v>651976.87370280514</v>
      </c>
      <c r="AT46">
        <v>-420466.66666666785</v>
      </c>
      <c r="AW46">
        <v>38</v>
      </c>
      <c r="AX46">
        <v>530434.23724800965</v>
      </c>
      <c r="AY46">
        <v>785400.0000000014</v>
      </c>
      <c r="AZ46">
        <v>254965.76275199174</v>
      </c>
    </row>
    <row r="47" spans="2:52" x14ac:dyDescent="0.45">
      <c r="N47">
        <v>1.9</v>
      </c>
      <c r="O47" s="20">
        <v>1109030.3924940675</v>
      </c>
      <c r="P47" s="20">
        <v>785400.0000000014</v>
      </c>
      <c r="Q47" s="20">
        <v>-323630.39249406615</v>
      </c>
      <c r="T47">
        <v>2000</v>
      </c>
      <c r="U47">
        <v>287.07643588244503</v>
      </c>
      <c r="V47">
        <v>574.15287176489005</v>
      </c>
      <c r="W47">
        <v>861.22930764733496</v>
      </c>
      <c r="X47">
        <v>1148.3057435297801</v>
      </c>
      <c r="Y47">
        <v>1435.382179412225</v>
      </c>
      <c r="Z47">
        <v>1722.4586152946699</v>
      </c>
      <c r="AA47">
        <v>2009.5350511771148</v>
      </c>
      <c r="AB47">
        <v>2296.6114870595602</v>
      </c>
      <c r="AC47">
        <v>2583.6879229420051</v>
      </c>
      <c r="AD47">
        <v>2870.76435882445</v>
      </c>
      <c r="AG47">
        <v>2000</v>
      </c>
      <c r="AH47">
        <v>1030.3505058977978</v>
      </c>
      <c r="AI47">
        <v>1753.6395333333369</v>
      </c>
      <c r="AL47" s="23"/>
      <c r="AN47">
        <v>39</v>
      </c>
      <c r="AO47" s="20">
        <v>256169.44013930636</v>
      </c>
      <c r="AP47" s="46">
        <v>269.78397430036716</v>
      </c>
      <c r="AR47">
        <v>20</v>
      </c>
      <c r="AS47">
        <v>651912.90039963054</v>
      </c>
      <c r="AT47">
        <v>-499800.00000000134</v>
      </c>
      <c r="AW47">
        <v>39</v>
      </c>
      <c r="AX47">
        <v>529230.55986069504</v>
      </c>
      <c r="AY47">
        <v>785400.0000000014</v>
      </c>
      <c r="AZ47">
        <v>256169.44013930636</v>
      </c>
    </row>
    <row r="48" spans="2:52" x14ac:dyDescent="0.45">
      <c r="N48">
        <v>2</v>
      </c>
      <c r="O48" s="20">
        <v>1149028.4833270884</v>
      </c>
      <c r="P48" s="20">
        <v>785400.0000000014</v>
      </c>
      <c r="Q48" s="20">
        <v>-363628.48332708701</v>
      </c>
      <c r="T48">
        <v>2100</v>
      </c>
      <c r="U48">
        <v>287.93217810466723</v>
      </c>
      <c r="V48">
        <v>575.86435620933446</v>
      </c>
      <c r="W48">
        <v>863.79653431400163</v>
      </c>
      <c r="X48">
        <v>1151.7287124186689</v>
      </c>
      <c r="Y48">
        <v>1439.6608905233361</v>
      </c>
      <c r="Z48">
        <v>1727.5930686280033</v>
      </c>
      <c r="AA48">
        <v>2015.5252467326704</v>
      </c>
      <c r="AB48">
        <v>2303.4574248373378</v>
      </c>
      <c r="AC48">
        <v>2591.3896029420052</v>
      </c>
      <c r="AD48">
        <v>2879.3217810466722</v>
      </c>
      <c r="AG48">
        <v>2100</v>
      </c>
      <c r="AH48">
        <v>1033.4218636317562</v>
      </c>
      <c r="AI48">
        <v>1753.6395333333369</v>
      </c>
      <c r="AN48">
        <v>40</v>
      </c>
      <c r="AO48" s="20">
        <v>257055.77645179152</v>
      </c>
      <c r="AP48" s="46">
        <v>251.07415856754778</v>
      </c>
      <c r="AR48">
        <v>21</v>
      </c>
      <c r="AS48">
        <v>651877.56259878469</v>
      </c>
      <c r="AT48">
        <v>-579133.33333333477</v>
      </c>
      <c r="AW48">
        <v>40</v>
      </c>
      <c r="AX48">
        <v>528344.22354820988</v>
      </c>
      <c r="AY48">
        <v>785400.0000000014</v>
      </c>
      <c r="AZ48">
        <v>257055.77645179152</v>
      </c>
    </row>
    <row r="49" spans="20:52" x14ac:dyDescent="0.45">
      <c r="T49">
        <v>2200</v>
      </c>
      <c r="U49">
        <v>288.78792032688943</v>
      </c>
      <c r="V49">
        <v>577.57584065377887</v>
      </c>
      <c r="W49">
        <v>866.36376098066842</v>
      </c>
      <c r="X49">
        <v>1155.1516813075577</v>
      </c>
      <c r="Y49">
        <v>1443.9396016344472</v>
      </c>
      <c r="Z49">
        <v>1732.7275219613368</v>
      </c>
      <c r="AA49">
        <v>2021.515442288226</v>
      </c>
      <c r="AB49">
        <v>2310.3033626151155</v>
      </c>
      <c r="AC49">
        <v>2599.0912829420049</v>
      </c>
      <c r="AD49">
        <v>2887.8792032688943</v>
      </c>
      <c r="AG49">
        <v>2200</v>
      </c>
      <c r="AH49">
        <v>1036.4932213657146</v>
      </c>
      <c r="AI49">
        <v>1753.6395333333369</v>
      </c>
      <c r="AN49">
        <v>41</v>
      </c>
      <c r="AO49" s="20">
        <v>257700.45828782371</v>
      </c>
      <c r="AP49" s="46">
        <v>232.83384241371709</v>
      </c>
      <c r="AR49">
        <v>22</v>
      </c>
      <c r="AS49">
        <v>651858.55453319836</v>
      </c>
      <c r="AT49">
        <v>-658466.66666666826</v>
      </c>
      <c r="AW49">
        <v>41</v>
      </c>
      <c r="AX49">
        <v>527699.54171217768</v>
      </c>
      <c r="AY49">
        <v>785400.0000000014</v>
      </c>
      <c r="AZ49">
        <v>257700.45828782371</v>
      </c>
    </row>
    <row r="50" spans="20:52" x14ac:dyDescent="0.45">
      <c r="T50">
        <v>2300</v>
      </c>
      <c r="U50">
        <v>289.6436625491117</v>
      </c>
      <c r="V50">
        <v>579.28732509822339</v>
      </c>
      <c r="W50">
        <v>868.93098764733497</v>
      </c>
      <c r="X50">
        <v>1158.5746501964468</v>
      </c>
      <c r="Y50">
        <v>1448.2183127455583</v>
      </c>
      <c r="Z50">
        <v>1737.8619752946699</v>
      </c>
      <c r="AA50">
        <v>2027.5056378437816</v>
      </c>
      <c r="AB50">
        <v>2317.1493003928936</v>
      </c>
      <c r="AC50">
        <v>2606.792962942005</v>
      </c>
      <c r="AD50">
        <v>2896.4366254911165</v>
      </c>
      <c r="AG50">
        <v>2300</v>
      </c>
      <c r="AH50">
        <v>1039.564579099673</v>
      </c>
      <c r="AI50">
        <v>1753.6395333333369</v>
      </c>
      <c r="AN50">
        <v>42</v>
      </c>
      <c r="AO50">
        <v>258163.59907574044</v>
      </c>
      <c r="AP50">
        <v>215.04557256016892</v>
      </c>
      <c r="AR50">
        <v>23</v>
      </c>
      <c r="AS50">
        <v>651848.5998871678</v>
      </c>
      <c r="AT50">
        <v>-737800.00000000175</v>
      </c>
      <c r="AW50">
        <v>42</v>
      </c>
      <c r="AX50">
        <v>527236.40092426096</v>
      </c>
      <c r="AY50">
        <v>785400.0000000014</v>
      </c>
      <c r="AZ50">
        <v>258163.59907574044</v>
      </c>
    </row>
    <row r="51" spans="20:52" x14ac:dyDescent="0.45">
      <c r="T51">
        <v>2400</v>
      </c>
      <c r="U51">
        <v>290.4994047713339</v>
      </c>
      <c r="V51">
        <v>580.9988095426678</v>
      </c>
      <c r="W51">
        <v>871.49821431400164</v>
      </c>
      <c r="X51">
        <v>1161.9976190853356</v>
      </c>
      <c r="Y51">
        <v>1452.4970238566693</v>
      </c>
      <c r="Z51">
        <v>1742.9964286280033</v>
      </c>
      <c r="AA51">
        <v>2033.495833399337</v>
      </c>
      <c r="AB51">
        <v>2323.9952381706712</v>
      </c>
      <c r="AC51">
        <v>2614.4946429420047</v>
      </c>
      <c r="AD51">
        <v>2904.9940477133387</v>
      </c>
      <c r="AG51">
        <v>2400</v>
      </c>
      <c r="AH51">
        <v>1042.6359368336316</v>
      </c>
      <c r="AI51">
        <v>1753.6395333333369</v>
      </c>
      <c r="AN51">
        <v>43</v>
      </c>
      <c r="AO51">
        <v>258492.19763814448</v>
      </c>
      <c r="AP51">
        <v>197.69275022241641</v>
      </c>
      <c r="AR51">
        <v>24</v>
      </c>
      <c r="AS51">
        <v>651843.52484137646</v>
      </c>
      <c r="AT51">
        <v>-817133.33333333523</v>
      </c>
      <c r="AW51">
        <v>43</v>
      </c>
      <c r="AX51">
        <v>526907.80236185691</v>
      </c>
      <c r="AY51">
        <v>785400.0000000014</v>
      </c>
      <c r="AZ51">
        <v>258492.19763814448</v>
      </c>
    </row>
    <row r="52" spans="20:52" x14ac:dyDescent="0.45">
      <c r="T52">
        <v>2500</v>
      </c>
      <c r="U52">
        <v>291.3551469935561</v>
      </c>
      <c r="V52">
        <v>582.71029398711221</v>
      </c>
      <c r="W52">
        <v>874.06544098066831</v>
      </c>
      <c r="X52">
        <v>1165.4205879742244</v>
      </c>
      <c r="Y52">
        <v>1456.7757349677806</v>
      </c>
      <c r="Z52">
        <v>1748.1308819613366</v>
      </c>
      <c r="AA52">
        <v>2039.4860289548926</v>
      </c>
      <c r="AB52">
        <v>2330.8411759484488</v>
      </c>
      <c r="AC52">
        <v>2622.1963229420048</v>
      </c>
      <c r="AD52">
        <v>2913.5514699355613</v>
      </c>
      <c r="AG52">
        <v>2500</v>
      </c>
      <c r="AH52">
        <v>1045.70729456759</v>
      </c>
      <c r="AI52">
        <v>1753.6395333333369</v>
      </c>
      <c r="AN52">
        <v>44</v>
      </c>
      <c r="AO52">
        <v>258722.43171032611</v>
      </c>
      <c r="AP52">
        <v>180.75957944858419</v>
      </c>
      <c r="AR52">
        <v>25</v>
      </c>
      <c r="AS52">
        <v>651841.00645944919</v>
      </c>
      <c r="AT52">
        <v>-896466.66666666872</v>
      </c>
      <c r="AW52">
        <v>44</v>
      </c>
      <c r="AX52">
        <v>526677.56828967528</v>
      </c>
      <c r="AY52">
        <v>785400.0000000014</v>
      </c>
      <c r="AZ52">
        <v>258722.43171032611</v>
      </c>
    </row>
    <row r="53" spans="20:52" x14ac:dyDescent="0.45">
      <c r="T53">
        <v>2600</v>
      </c>
      <c r="U53">
        <v>292.21088921577831</v>
      </c>
      <c r="V53">
        <v>584.42177843155662</v>
      </c>
      <c r="W53">
        <v>876.63266764733498</v>
      </c>
      <c r="X53">
        <v>1168.8435568631132</v>
      </c>
      <c r="Y53">
        <v>1461.0544460788917</v>
      </c>
      <c r="Z53">
        <v>1753.26533529467</v>
      </c>
      <c r="AA53">
        <v>2045.476224510448</v>
      </c>
      <c r="AB53">
        <v>2337.6871137262265</v>
      </c>
      <c r="AC53">
        <v>2629.898002942005</v>
      </c>
      <c r="AD53">
        <v>2922.1088921577834</v>
      </c>
      <c r="AG53">
        <v>2600</v>
      </c>
      <c r="AH53">
        <v>1048.7786523015486</v>
      </c>
      <c r="AI53">
        <v>1753.6395333333369</v>
      </c>
      <c r="AN53">
        <v>45</v>
      </c>
      <c r="AO53">
        <v>258881.72333297448</v>
      </c>
      <c r="AP53">
        <v>164.23101916110636</v>
      </c>
      <c r="AR53">
        <v>26</v>
      </c>
      <c r="AS53">
        <v>651839.79022843693</v>
      </c>
      <c r="AT53">
        <v>-975800.00000000221</v>
      </c>
      <c r="AW53">
        <v>45</v>
      </c>
      <c r="AX53">
        <v>526518.27666702692</v>
      </c>
      <c r="AY53">
        <v>785400.0000000014</v>
      </c>
      <c r="AZ53">
        <v>258881.72333297448</v>
      </c>
    </row>
    <row r="54" spans="20:52" x14ac:dyDescent="0.45">
      <c r="T54">
        <v>2700</v>
      </c>
      <c r="U54">
        <v>293.06663143800051</v>
      </c>
      <c r="V54">
        <v>586.13326287600103</v>
      </c>
      <c r="W54">
        <v>879.19989431400165</v>
      </c>
      <c r="X54">
        <v>1172.2665257520021</v>
      </c>
      <c r="Y54">
        <v>1465.3331571900028</v>
      </c>
      <c r="Z54">
        <v>1758.3997886280033</v>
      </c>
      <c r="AA54">
        <v>2051.4664200660036</v>
      </c>
      <c r="AB54">
        <v>2344.5330515040041</v>
      </c>
      <c r="AC54">
        <v>2637.5996829420051</v>
      </c>
      <c r="AD54">
        <v>2930.6663143800056</v>
      </c>
      <c r="AG54">
        <v>2700</v>
      </c>
      <c r="AH54">
        <v>1051.850010035507</v>
      </c>
      <c r="AI54">
        <v>1753.6395333333369</v>
      </c>
      <c r="AN54">
        <v>46</v>
      </c>
      <c r="AO54">
        <v>258990.54252395942</v>
      </c>
      <c r="AP54">
        <v>148.09273859565201</v>
      </c>
      <c r="AR54">
        <v>27</v>
      </c>
      <c r="AS54">
        <v>651839.21865432593</v>
      </c>
      <c r="AT54">
        <v>-1055133.3333333358</v>
      </c>
      <c r="AW54">
        <v>46</v>
      </c>
      <c r="AX54">
        <v>526409.45747604198</v>
      </c>
      <c r="AY54">
        <v>785400.0000000014</v>
      </c>
      <c r="AZ54">
        <v>258990.54252395942</v>
      </c>
    </row>
    <row r="55" spans="20:52" x14ac:dyDescent="0.45">
      <c r="T55">
        <v>2800</v>
      </c>
      <c r="U55">
        <v>293.92237366022277</v>
      </c>
      <c r="V55">
        <v>587.84474732044555</v>
      </c>
      <c r="W55">
        <v>881.76712098066821</v>
      </c>
      <c r="X55">
        <v>1175.6894946408911</v>
      </c>
      <c r="Y55">
        <v>1469.6118683011139</v>
      </c>
      <c r="Z55">
        <v>1763.5342419613364</v>
      </c>
      <c r="AA55">
        <v>2057.4566156215592</v>
      </c>
      <c r="AB55">
        <v>2351.3789892817822</v>
      </c>
      <c r="AC55">
        <v>2645.3013629420052</v>
      </c>
      <c r="AD55">
        <v>2939.2237366022277</v>
      </c>
      <c r="AG55">
        <v>2800</v>
      </c>
      <c r="AH55">
        <v>1054.9213677694654</v>
      </c>
      <c r="AI55">
        <v>1753.6395333333369</v>
      </c>
      <c r="AN55">
        <v>47</v>
      </c>
      <c r="AO55">
        <v>259063.93958669715</v>
      </c>
      <c r="AP55">
        <v>132.33107585980974</v>
      </c>
      <c r="AR55">
        <v>28</v>
      </c>
      <c r="AS55">
        <v>651838.95729160437</v>
      </c>
      <c r="AT55">
        <v>-1134466.6666666693</v>
      </c>
      <c r="AW55">
        <v>47</v>
      </c>
      <c r="AX55">
        <v>526336.06041330425</v>
      </c>
      <c r="AY55">
        <v>785400.0000000014</v>
      </c>
      <c r="AZ55">
        <v>259063.93958669715</v>
      </c>
    </row>
    <row r="56" spans="20:52" x14ac:dyDescent="0.45">
      <c r="T56">
        <v>2900</v>
      </c>
      <c r="U56">
        <v>294.77811588244504</v>
      </c>
      <c r="V56">
        <v>589.55623176489007</v>
      </c>
      <c r="W56">
        <v>884.33434764733488</v>
      </c>
      <c r="X56">
        <v>1179.1124635297801</v>
      </c>
      <c r="Y56">
        <v>1473.890579412225</v>
      </c>
      <c r="Z56">
        <v>1768.6686952946698</v>
      </c>
      <c r="AA56">
        <v>2063.4468111771148</v>
      </c>
      <c r="AB56">
        <v>2358.2249270595603</v>
      </c>
      <c r="AC56">
        <v>2653.0030429420049</v>
      </c>
      <c r="AD56">
        <v>2947.7811588244499</v>
      </c>
      <c r="AG56">
        <v>2900</v>
      </c>
      <c r="AH56">
        <v>1057.9927255034238</v>
      </c>
      <c r="AI56">
        <v>1753.6395333333369</v>
      </c>
      <c r="AN56">
        <v>48</v>
      </c>
      <c r="AO56">
        <v>259112.81443495688</v>
      </c>
      <c r="AP56">
        <v>116.93299935964978</v>
      </c>
      <c r="AR56">
        <v>29</v>
      </c>
      <c r="AS56">
        <v>651838.84101691993</v>
      </c>
      <c r="AT56">
        <v>-1213800.0000000028</v>
      </c>
      <c r="AW56">
        <v>48</v>
      </c>
      <c r="AX56">
        <v>526287.18556504452</v>
      </c>
      <c r="AY56">
        <v>785400.0000000014</v>
      </c>
      <c r="AZ56">
        <v>259112.81443495688</v>
      </c>
    </row>
    <row r="57" spans="20:52" x14ac:dyDescent="0.45">
      <c r="T57">
        <v>3000</v>
      </c>
      <c r="U57">
        <v>295.63385810466724</v>
      </c>
      <c r="V57">
        <v>591.26771620933448</v>
      </c>
      <c r="W57">
        <v>886.90157431400155</v>
      </c>
      <c r="X57">
        <v>1182.535432418669</v>
      </c>
      <c r="Y57">
        <v>1478.169290523336</v>
      </c>
      <c r="Z57">
        <v>1773.8031486280031</v>
      </c>
      <c r="AA57">
        <v>2069.4370067326704</v>
      </c>
      <c r="AB57">
        <v>2365.0708648373379</v>
      </c>
      <c r="AC57">
        <v>2660.704722942005</v>
      </c>
      <c r="AD57">
        <v>2956.3385810466721</v>
      </c>
      <c r="AG57">
        <v>3000</v>
      </c>
      <c r="AH57">
        <v>1061.0640832373822</v>
      </c>
      <c r="AI57">
        <v>1753.6395333333369</v>
      </c>
      <c r="AN57">
        <v>49</v>
      </c>
      <c r="AO57">
        <v>259144.94364568871</v>
      </c>
      <c r="AP57">
        <v>101.88607186525269</v>
      </c>
      <c r="AR57">
        <v>30</v>
      </c>
      <c r="AS57">
        <v>651838.79069515364</v>
      </c>
      <c r="AT57">
        <v>-1293133.3333333363</v>
      </c>
      <c r="AW57">
        <v>49</v>
      </c>
      <c r="AX57">
        <v>526255.05635431269</v>
      </c>
      <c r="AY57">
        <v>785400.0000000014</v>
      </c>
      <c r="AZ57">
        <v>259144.94364568871</v>
      </c>
    </row>
    <row r="58" spans="20:52" x14ac:dyDescent="0.45">
      <c r="T58">
        <v>3100</v>
      </c>
      <c r="U58">
        <v>296.48960032688944</v>
      </c>
      <c r="V58">
        <v>592.97920065377889</v>
      </c>
      <c r="W58">
        <v>889.46880098066833</v>
      </c>
      <c r="X58">
        <v>1185.9584013075578</v>
      </c>
      <c r="Y58">
        <v>1482.4480016344471</v>
      </c>
      <c r="Z58">
        <v>1778.9376019613367</v>
      </c>
      <c r="AA58">
        <v>2075.4272022882255</v>
      </c>
      <c r="AB58">
        <v>2371.9168026151156</v>
      </c>
      <c r="AC58">
        <v>2668.4064029420051</v>
      </c>
      <c r="AD58">
        <v>2964.8960032688942</v>
      </c>
      <c r="AG58">
        <v>3100</v>
      </c>
      <c r="AH58">
        <v>1064.1354409713406</v>
      </c>
      <c r="AI58">
        <v>1753.6395333333369</v>
      </c>
      <c r="AN58">
        <v>50</v>
      </c>
      <c r="AO58">
        <v>259165.79327097908</v>
      </c>
      <c r="AP58">
        <v>87.178417006951577</v>
      </c>
      <c r="AR58">
        <v>31</v>
      </c>
      <c r="AS58">
        <v>651838.76951070223</v>
      </c>
      <c r="AT58">
        <v>-1372466.6666666698</v>
      </c>
      <c r="AW58">
        <v>50</v>
      </c>
      <c r="AX58">
        <v>526234.20672902232</v>
      </c>
      <c r="AY58">
        <v>785400.0000000014</v>
      </c>
      <c r="AZ58">
        <v>259165.79327097908</v>
      </c>
    </row>
    <row r="59" spans="20:52" x14ac:dyDescent="0.45">
      <c r="T59">
        <v>3200</v>
      </c>
      <c r="U59">
        <v>297.34534254911171</v>
      </c>
      <c r="V59">
        <v>594.69068509822341</v>
      </c>
      <c r="W59">
        <v>892.03602764733512</v>
      </c>
      <c r="X59">
        <v>1189.3813701964468</v>
      </c>
      <c r="Y59">
        <v>1486.7267127455584</v>
      </c>
      <c r="Z59">
        <v>1784.0720552946702</v>
      </c>
      <c r="AA59">
        <v>2081.4173978437816</v>
      </c>
      <c r="AB59">
        <v>2378.7627403928936</v>
      </c>
      <c r="AC59">
        <v>2676.1080829420052</v>
      </c>
      <c r="AD59">
        <v>2973.4534254911168</v>
      </c>
      <c r="AG59">
        <v>3200</v>
      </c>
      <c r="AH59">
        <v>1067.2067987052992</v>
      </c>
      <c r="AI59">
        <v>1753.6395333333369</v>
      </c>
      <c r="AR59">
        <v>32</v>
      </c>
      <c r="AS59">
        <v>651838.76083642803</v>
      </c>
      <c r="AT59">
        <v>-1451800.0000000033</v>
      </c>
    </row>
    <row r="60" spans="20:52" x14ac:dyDescent="0.45">
      <c r="T60">
        <v>3300</v>
      </c>
      <c r="U60">
        <v>298.20108477133391</v>
      </c>
      <c r="V60">
        <v>596.40216954266782</v>
      </c>
      <c r="W60">
        <v>894.60325431400179</v>
      </c>
      <c r="X60">
        <v>1192.8043390853356</v>
      </c>
      <c r="Y60">
        <v>1491.0054238566695</v>
      </c>
      <c r="Z60">
        <v>1789.2065086280036</v>
      </c>
      <c r="AA60">
        <v>2087.4075933993372</v>
      </c>
      <c r="AB60">
        <v>2385.6086781706713</v>
      </c>
      <c r="AC60">
        <v>2683.8097629420054</v>
      </c>
      <c r="AD60">
        <v>2982.010847713339</v>
      </c>
      <c r="AG60">
        <v>3300</v>
      </c>
      <c r="AH60">
        <v>1070.2781564392576</v>
      </c>
      <c r="AI60">
        <v>1753.6395333333369</v>
      </c>
      <c r="AR60">
        <v>33</v>
      </c>
      <c r="AS60">
        <v>651838.75738204969</v>
      </c>
      <c r="AT60">
        <v>-1531133.3333333367</v>
      </c>
    </row>
    <row r="61" spans="20:52" x14ac:dyDescent="0.45">
      <c r="T61">
        <v>3400</v>
      </c>
      <c r="U61">
        <v>299.05682699355617</v>
      </c>
      <c r="V61">
        <v>598.11365398711234</v>
      </c>
      <c r="W61">
        <v>897.17048098066834</v>
      </c>
      <c r="X61">
        <v>1196.2273079742247</v>
      </c>
      <c r="Y61">
        <v>1495.2841349677806</v>
      </c>
      <c r="Z61">
        <v>1794.3409619613367</v>
      </c>
      <c r="AA61">
        <v>2093.3977889548928</v>
      </c>
      <c r="AB61">
        <v>2392.4546159484494</v>
      </c>
      <c r="AC61">
        <v>2691.511442942005</v>
      </c>
      <c r="AD61">
        <v>2990.5682699355611</v>
      </c>
      <c r="AG61">
        <v>3400</v>
      </c>
      <c r="AH61">
        <v>1073.349514173216</v>
      </c>
      <c r="AI61">
        <v>1753.6395333333369</v>
      </c>
      <c r="AR61">
        <v>34</v>
      </c>
      <c r="AS61">
        <v>651838.75604423531</v>
      </c>
      <c r="AT61">
        <v>-1610466.6666666702</v>
      </c>
    </row>
    <row r="62" spans="20:52" x14ac:dyDescent="0.45">
      <c r="T62">
        <v>3500</v>
      </c>
      <c r="U62">
        <v>299.91256921577838</v>
      </c>
      <c r="V62">
        <v>599.82513843155675</v>
      </c>
      <c r="W62">
        <v>899.73770764733501</v>
      </c>
      <c r="X62">
        <v>1199.6502768631135</v>
      </c>
      <c r="Y62">
        <v>1499.5628460788919</v>
      </c>
      <c r="Z62">
        <v>1799.47541529467</v>
      </c>
      <c r="AA62">
        <v>2099.3879845104484</v>
      </c>
      <c r="AB62">
        <v>2399.300553726227</v>
      </c>
      <c r="AC62">
        <v>2699.2131229420052</v>
      </c>
      <c r="AD62">
        <v>2999.1256921577838</v>
      </c>
      <c r="AG62">
        <v>3500</v>
      </c>
      <c r="AH62">
        <v>1076.4208719071746</v>
      </c>
      <c r="AI62">
        <v>1753.6395333333369</v>
      </c>
      <c r="AR62">
        <v>35</v>
      </c>
      <c r="AS62">
        <v>651838.75554040843</v>
      </c>
      <c r="AT62">
        <v>-1689800.0000000037</v>
      </c>
    </row>
    <row r="63" spans="20:52" x14ac:dyDescent="0.45">
      <c r="T63">
        <v>3600</v>
      </c>
      <c r="U63">
        <v>300.76831143800058</v>
      </c>
      <c r="V63">
        <v>601.53662287600116</v>
      </c>
      <c r="W63">
        <v>902.30493431400168</v>
      </c>
      <c r="X63">
        <v>1203.0732457520023</v>
      </c>
      <c r="Y63">
        <v>1503.841557190003</v>
      </c>
      <c r="Z63">
        <v>1804.6098686280034</v>
      </c>
      <c r="AA63">
        <v>2105.378180066004</v>
      </c>
      <c r="AB63">
        <v>2406.1464915040046</v>
      </c>
      <c r="AC63">
        <v>2706.9148029420053</v>
      </c>
      <c r="AD63">
        <v>3007.6831143800059</v>
      </c>
      <c r="AG63">
        <v>3600</v>
      </c>
      <c r="AH63">
        <v>1079.492229641133</v>
      </c>
      <c r="AI63">
        <v>1753.6395333333369</v>
      </c>
    </row>
    <row r="64" spans="20:52" x14ac:dyDescent="0.45">
      <c r="T64">
        <v>3700</v>
      </c>
      <c r="U64">
        <v>301.62405366022278</v>
      </c>
      <c r="V64">
        <v>603.24810732044557</v>
      </c>
      <c r="W64">
        <v>904.87216098066835</v>
      </c>
      <c r="X64">
        <v>1206.4962146408911</v>
      </c>
      <c r="Y64">
        <v>1508.120268301114</v>
      </c>
      <c r="Z64">
        <v>1809.7443219613367</v>
      </c>
      <c r="AA64">
        <v>2111.3683756215596</v>
      </c>
      <c r="AB64">
        <v>2412.9924292817823</v>
      </c>
      <c r="AC64">
        <v>2714.616482942005</v>
      </c>
      <c r="AD64">
        <v>3016.2405366022281</v>
      </c>
      <c r="AG64">
        <v>3700</v>
      </c>
      <c r="AH64">
        <v>1082.5635873750914</v>
      </c>
      <c r="AI64">
        <v>1753.6395333333369</v>
      </c>
    </row>
    <row r="65" spans="20:35" x14ac:dyDescent="0.45">
      <c r="T65">
        <v>3800</v>
      </c>
      <c r="U65">
        <v>302.47979588244499</v>
      </c>
      <c r="V65">
        <v>604.95959176488998</v>
      </c>
      <c r="W65">
        <v>907.43938764733502</v>
      </c>
      <c r="X65">
        <v>1209.91918352978</v>
      </c>
      <c r="Y65">
        <v>1512.3989794122251</v>
      </c>
      <c r="Z65">
        <v>1814.87877529467</v>
      </c>
      <c r="AA65">
        <v>2117.3585711771152</v>
      </c>
      <c r="AB65">
        <v>2419.8383670595599</v>
      </c>
      <c r="AC65">
        <v>2722.3181629420055</v>
      </c>
      <c r="AD65">
        <v>3024.7979588244502</v>
      </c>
      <c r="AG65">
        <v>3800</v>
      </c>
      <c r="AH65">
        <v>1085.6349451090498</v>
      </c>
      <c r="AI65">
        <v>1753.6395333333369</v>
      </c>
    </row>
    <row r="66" spans="20:35" x14ac:dyDescent="0.45">
      <c r="T66">
        <v>3900</v>
      </c>
      <c r="U66">
        <v>303.33553810466725</v>
      </c>
      <c r="V66">
        <v>606.6710762093345</v>
      </c>
      <c r="W66">
        <v>910.00661431400158</v>
      </c>
      <c r="X66">
        <v>1213.342152418669</v>
      </c>
      <c r="Y66">
        <v>1516.6776905233362</v>
      </c>
      <c r="Z66">
        <v>1820.0132286280032</v>
      </c>
      <c r="AA66">
        <v>2123.3487667326704</v>
      </c>
      <c r="AB66">
        <v>2426.684304837338</v>
      </c>
      <c r="AC66">
        <v>2730.0198429420052</v>
      </c>
      <c r="AD66">
        <v>3033.3553810466724</v>
      </c>
      <c r="AG66">
        <v>3900</v>
      </c>
      <c r="AH66">
        <v>1088.7063028430082</v>
      </c>
      <c r="AI66">
        <v>1753.6395333333369</v>
      </c>
    </row>
    <row r="67" spans="20:35" x14ac:dyDescent="0.45">
      <c r="T67">
        <v>4000</v>
      </c>
      <c r="U67">
        <v>304.19128032688945</v>
      </c>
      <c r="V67">
        <v>608.38256065377891</v>
      </c>
      <c r="W67">
        <v>912.57384098066836</v>
      </c>
      <c r="X67">
        <v>1216.7651213075578</v>
      </c>
      <c r="Y67">
        <v>1520.9564016344473</v>
      </c>
      <c r="Z67">
        <v>1825.1476819613367</v>
      </c>
      <c r="AA67">
        <v>2129.338962288226</v>
      </c>
      <c r="AB67">
        <v>2433.5302426151156</v>
      </c>
      <c r="AC67">
        <v>2737.7215229420053</v>
      </c>
      <c r="AD67">
        <v>3041.9128032688945</v>
      </c>
      <c r="AG67">
        <v>4000</v>
      </c>
      <c r="AH67">
        <v>1091.7776605769666</v>
      </c>
      <c r="AI67">
        <v>1753.6395333333369</v>
      </c>
    </row>
    <row r="68" spans="20:35" x14ac:dyDescent="0.45">
      <c r="T68">
        <v>4100</v>
      </c>
      <c r="U68">
        <v>305.04702254911166</v>
      </c>
      <c r="V68">
        <v>610.09404509822332</v>
      </c>
      <c r="W68">
        <v>915.14106764733503</v>
      </c>
      <c r="X68">
        <v>1220.1880901964466</v>
      </c>
      <c r="Y68">
        <v>1525.2351127455584</v>
      </c>
      <c r="Z68">
        <v>1830.2821352946701</v>
      </c>
      <c r="AA68">
        <v>2135.3291578437816</v>
      </c>
      <c r="AB68">
        <v>2440.3761803928933</v>
      </c>
      <c r="AC68">
        <v>2745.4232029420054</v>
      </c>
      <c r="AD68">
        <v>3050.4702254911167</v>
      </c>
      <c r="AG68">
        <v>4100</v>
      </c>
      <c r="AH68">
        <v>1094.849018310925</v>
      </c>
      <c r="AI68">
        <v>1753.6395333333369</v>
      </c>
    </row>
    <row r="69" spans="20:35" x14ac:dyDescent="0.45">
      <c r="T69">
        <v>4200</v>
      </c>
      <c r="U69">
        <v>305.90276477133392</v>
      </c>
      <c r="V69">
        <v>611.80552954266784</v>
      </c>
      <c r="W69">
        <v>917.70829431400171</v>
      </c>
      <c r="X69">
        <v>1223.6110590853357</v>
      </c>
      <c r="Y69">
        <v>1529.5138238566694</v>
      </c>
      <c r="Z69">
        <v>1835.4165886280034</v>
      </c>
      <c r="AA69">
        <v>2141.3193533993372</v>
      </c>
      <c r="AB69">
        <v>2447.2221181706714</v>
      </c>
      <c r="AC69">
        <v>2753.1248829420051</v>
      </c>
      <c r="AD69">
        <v>3059.0276477133389</v>
      </c>
      <c r="AG69">
        <v>4200</v>
      </c>
      <c r="AH69">
        <v>1097.9203760448836</v>
      </c>
      <c r="AI69">
        <v>1753.6395333333369</v>
      </c>
    </row>
    <row r="70" spans="20:35" x14ac:dyDescent="0.45">
      <c r="T70">
        <v>4300</v>
      </c>
      <c r="U70">
        <v>306.75850699355613</v>
      </c>
      <c r="V70">
        <v>613.51701398711225</v>
      </c>
      <c r="W70">
        <v>920.27552098066838</v>
      </c>
      <c r="X70">
        <v>1227.0340279742245</v>
      </c>
      <c r="Y70">
        <v>1533.7925349677805</v>
      </c>
      <c r="Z70">
        <v>1840.5510419613368</v>
      </c>
      <c r="AA70">
        <v>2147.3095489548928</v>
      </c>
      <c r="AB70">
        <v>2454.068055948449</v>
      </c>
      <c r="AC70">
        <v>2760.8265629420052</v>
      </c>
      <c r="AD70">
        <v>3067.585069935561</v>
      </c>
      <c r="AG70">
        <v>4300</v>
      </c>
      <c r="AH70">
        <v>1100.991733778842</v>
      </c>
      <c r="AI70">
        <v>1753.6395333333369</v>
      </c>
    </row>
    <row r="71" spans="20:35" x14ac:dyDescent="0.45">
      <c r="T71">
        <v>4400</v>
      </c>
      <c r="U71">
        <v>307.61424921577839</v>
      </c>
      <c r="V71">
        <v>615.22849843155677</v>
      </c>
      <c r="W71">
        <v>922.84274764733493</v>
      </c>
      <c r="X71">
        <v>1230.4569968631135</v>
      </c>
      <c r="Y71">
        <v>1538.0712460788916</v>
      </c>
      <c r="Z71">
        <v>1845.6854952946699</v>
      </c>
      <c r="AA71">
        <v>2153.2997445104479</v>
      </c>
      <c r="AB71">
        <v>2460.9139937262271</v>
      </c>
      <c r="AC71">
        <v>2768.5282429420049</v>
      </c>
      <c r="AD71">
        <v>3076.1424921577832</v>
      </c>
      <c r="AG71">
        <v>4400</v>
      </c>
      <c r="AH71">
        <v>1104.0630915128004</v>
      </c>
      <c r="AI71">
        <v>1753.6395333333369</v>
      </c>
    </row>
    <row r="72" spans="20:35" x14ac:dyDescent="0.45">
      <c r="T72">
        <v>4500</v>
      </c>
      <c r="U72">
        <v>308.46999143800059</v>
      </c>
      <c r="V72">
        <v>616.93998287600118</v>
      </c>
      <c r="W72">
        <v>925.4099743140016</v>
      </c>
      <c r="X72">
        <v>1233.8799657520024</v>
      </c>
      <c r="Y72">
        <v>1542.3499571900027</v>
      </c>
      <c r="Z72">
        <v>1850.8199486280032</v>
      </c>
      <c r="AA72">
        <v>2159.2899400660035</v>
      </c>
      <c r="AB72">
        <v>2467.7599315040047</v>
      </c>
      <c r="AC72">
        <v>2776.229922942005</v>
      </c>
      <c r="AD72">
        <v>3084.6999143800053</v>
      </c>
      <c r="AG72">
        <v>4500</v>
      </c>
      <c r="AH72">
        <v>1107.1344492467588</v>
      </c>
      <c r="AI72">
        <v>1753.6395333333369</v>
      </c>
    </row>
    <row r="73" spans="20:35" x14ac:dyDescent="0.45">
      <c r="T73">
        <v>4600</v>
      </c>
      <c r="U73">
        <v>309.3257336602228</v>
      </c>
      <c r="V73">
        <v>618.65146732044559</v>
      </c>
      <c r="W73">
        <v>927.97720098066827</v>
      </c>
      <c r="X73">
        <v>1237.3029346408912</v>
      </c>
      <c r="Y73">
        <v>1546.628668301114</v>
      </c>
      <c r="Z73">
        <v>1855.9544019613365</v>
      </c>
      <c r="AA73">
        <v>2165.2801356215596</v>
      </c>
      <c r="AB73">
        <v>2474.6058692817824</v>
      </c>
      <c r="AC73">
        <v>2783.9316029420052</v>
      </c>
      <c r="AD73">
        <v>3093.257336602228</v>
      </c>
      <c r="AG73">
        <v>4600</v>
      </c>
      <c r="AH73">
        <v>1110.2058069807172</v>
      </c>
      <c r="AI73">
        <v>1753.6395333333369</v>
      </c>
    </row>
    <row r="74" spans="20:35" x14ac:dyDescent="0.45">
      <c r="T74">
        <v>4700</v>
      </c>
      <c r="U74">
        <v>310.18147588244506</v>
      </c>
      <c r="V74">
        <v>620.36295176489011</v>
      </c>
      <c r="W74">
        <v>930.54442764733506</v>
      </c>
      <c r="X74">
        <v>1240.7259035297802</v>
      </c>
      <c r="Y74">
        <v>1550.9073794122253</v>
      </c>
      <c r="Z74">
        <v>1861.0888552946701</v>
      </c>
      <c r="AA74">
        <v>2171.2703311771152</v>
      </c>
      <c r="AB74">
        <v>2481.4518070595605</v>
      </c>
      <c r="AC74">
        <v>2791.6332829420053</v>
      </c>
      <c r="AD74">
        <v>3101.8147588244506</v>
      </c>
      <c r="AG74">
        <v>4700</v>
      </c>
      <c r="AH74">
        <v>1113.2771647146758</v>
      </c>
      <c r="AI74">
        <v>1753.6395333333369</v>
      </c>
    </row>
    <row r="75" spans="20:35" x14ac:dyDescent="0.45">
      <c r="T75">
        <v>4800</v>
      </c>
      <c r="U75">
        <v>311.03721810466726</v>
      </c>
      <c r="V75">
        <v>622.07443620933452</v>
      </c>
      <c r="W75">
        <v>933.11165431400184</v>
      </c>
      <c r="X75">
        <v>1244.148872418669</v>
      </c>
      <c r="Y75">
        <v>1555.1860905233364</v>
      </c>
      <c r="Z75">
        <v>1866.2233086280037</v>
      </c>
      <c r="AA75">
        <v>2177.2605267326708</v>
      </c>
      <c r="AB75">
        <v>2488.2977448373381</v>
      </c>
      <c r="AC75">
        <v>2799.3349629420054</v>
      </c>
      <c r="AD75">
        <v>3110.3721810466727</v>
      </c>
      <c r="AG75">
        <v>4800</v>
      </c>
      <c r="AH75">
        <v>1116.3485224486342</v>
      </c>
      <c r="AI75">
        <v>1753.6395333333369</v>
      </c>
    </row>
    <row r="76" spans="20:35" x14ac:dyDescent="0.45">
      <c r="T76">
        <v>4900</v>
      </c>
      <c r="U76">
        <v>311.89296032688947</v>
      </c>
      <c r="V76">
        <v>623.78592065377893</v>
      </c>
      <c r="W76">
        <v>935.67888098066851</v>
      </c>
      <c r="X76">
        <v>1247.5718413075579</v>
      </c>
      <c r="Y76">
        <v>1559.4648016344474</v>
      </c>
      <c r="Z76">
        <v>1871.357761961337</v>
      </c>
      <c r="AA76">
        <v>2183.2507222882264</v>
      </c>
      <c r="AB76">
        <v>2495.1436826151157</v>
      </c>
      <c r="AC76">
        <v>2807.0366429420055</v>
      </c>
      <c r="AD76">
        <v>3118.9296032688949</v>
      </c>
      <c r="AG76">
        <v>4900</v>
      </c>
      <c r="AH76">
        <v>1119.4198801825926</v>
      </c>
      <c r="AI76">
        <v>1753.6395333333369</v>
      </c>
    </row>
    <row r="77" spans="20:35" x14ac:dyDescent="0.45">
      <c r="T77">
        <v>5000</v>
      </c>
      <c r="U77">
        <v>312.74870254911173</v>
      </c>
      <c r="V77">
        <v>625.49740509822345</v>
      </c>
      <c r="W77">
        <v>938.24610764733507</v>
      </c>
      <c r="X77">
        <v>1250.9948101964469</v>
      </c>
      <c r="Y77">
        <v>1563.7435127455585</v>
      </c>
      <c r="Z77">
        <v>1876.4922152946701</v>
      </c>
      <c r="AA77">
        <v>2189.240917843782</v>
      </c>
      <c r="AB77">
        <v>2501.9896203928938</v>
      </c>
      <c r="AC77">
        <v>2814.7383229420057</v>
      </c>
      <c r="AD77">
        <v>3127.487025491117</v>
      </c>
      <c r="AG77">
        <v>5000</v>
      </c>
      <c r="AH77">
        <v>1122.4912379165512</v>
      </c>
      <c r="AI77">
        <v>1753.6395333333369</v>
      </c>
    </row>
    <row r="78" spans="20:35" x14ac:dyDescent="0.45">
      <c r="T78">
        <v>5100</v>
      </c>
      <c r="U78">
        <v>313.60444477133393</v>
      </c>
      <c r="V78">
        <v>627.20888954266786</v>
      </c>
      <c r="W78">
        <v>940.81333431400174</v>
      </c>
      <c r="X78">
        <v>1254.4177790853357</v>
      </c>
      <c r="Y78">
        <v>1568.0222238566696</v>
      </c>
      <c r="Z78">
        <v>1881.6266686280035</v>
      </c>
      <c r="AA78">
        <v>2195.2311133993376</v>
      </c>
      <c r="AB78">
        <v>2508.8355581706714</v>
      </c>
      <c r="AC78">
        <v>2822.4400029420053</v>
      </c>
      <c r="AD78">
        <v>3136.0444477133392</v>
      </c>
      <c r="AG78">
        <v>5100</v>
      </c>
      <c r="AH78">
        <v>1125.5625956505096</v>
      </c>
      <c r="AI78">
        <v>1753.6395333333369</v>
      </c>
    </row>
    <row r="79" spans="20:35" x14ac:dyDescent="0.45">
      <c r="T79">
        <v>5200</v>
      </c>
      <c r="U79">
        <v>314.46018699355614</v>
      </c>
      <c r="V79">
        <v>628.92037398711227</v>
      </c>
      <c r="W79">
        <v>943.38056098066841</v>
      </c>
      <c r="X79">
        <v>1257.8407479742245</v>
      </c>
      <c r="Y79">
        <v>1572.3009349677807</v>
      </c>
      <c r="Z79">
        <v>1886.7611219613368</v>
      </c>
      <c r="AA79">
        <v>2201.2213089548927</v>
      </c>
      <c r="AB79">
        <v>2515.6814959484491</v>
      </c>
      <c r="AC79">
        <v>2830.1416829420054</v>
      </c>
      <c r="AD79">
        <v>3144.6018699355614</v>
      </c>
      <c r="AG79">
        <v>5200</v>
      </c>
      <c r="AH79">
        <v>1128.633953384468</v>
      </c>
      <c r="AI79">
        <v>1753.6395333333369</v>
      </c>
    </row>
    <row r="80" spans="20:35" x14ac:dyDescent="0.45">
      <c r="T80">
        <v>5300</v>
      </c>
      <c r="U80">
        <v>315.31592921577834</v>
      </c>
      <c r="V80">
        <v>630.63185843155668</v>
      </c>
      <c r="W80">
        <v>945.94778764733508</v>
      </c>
      <c r="X80">
        <v>1261.2637168631134</v>
      </c>
      <c r="Y80">
        <v>1576.5796460788918</v>
      </c>
      <c r="Z80">
        <v>1891.8955752946702</v>
      </c>
      <c r="AA80">
        <v>2207.2115045104483</v>
      </c>
      <c r="AB80">
        <v>2522.5274337262267</v>
      </c>
      <c r="AC80">
        <v>2837.8433629420056</v>
      </c>
      <c r="AD80">
        <v>3153.1592921577835</v>
      </c>
      <c r="AG80">
        <v>5300</v>
      </c>
      <c r="AH80">
        <v>1131.7053111184266</v>
      </c>
      <c r="AI80">
        <v>1753.6395333333369</v>
      </c>
    </row>
    <row r="81" spans="20:35" x14ac:dyDescent="0.45">
      <c r="T81">
        <v>5400</v>
      </c>
      <c r="U81">
        <v>316.17167143800066</v>
      </c>
      <c r="V81">
        <v>632.34334287600132</v>
      </c>
      <c r="W81">
        <v>948.51501431400163</v>
      </c>
      <c r="X81">
        <v>1264.6866857520026</v>
      </c>
      <c r="Y81">
        <v>1580.8583571900028</v>
      </c>
      <c r="Z81">
        <v>1897.0300286280033</v>
      </c>
      <c r="AA81">
        <v>2213.2017000660039</v>
      </c>
      <c r="AB81">
        <v>2529.3733715040053</v>
      </c>
      <c r="AC81">
        <v>2845.5450429420052</v>
      </c>
      <c r="AD81">
        <v>3161.7167143800057</v>
      </c>
      <c r="AG81">
        <v>5400</v>
      </c>
      <c r="AH81">
        <v>1134.776668852385</v>
      </c>
      <c r="AI81">
        <v>1753.6395333333369</v>
      </c>
    </row>
    <row r="82" spans="20:35" x14ac:dyDescent="0.45">
      <c r="T82">
        <v>5500</v>
      </c>
      <c r="U82">
        <v>317.02741366022286</v>
      </c>
      <c r="V82">
        <v>634.05482732044572</v>
      </c>
      <c r="W82">
        <v>951.0822409806683</v>
      </c>
      <c r="X82">
        <v>1268.1096546408914</v>
      </c>
      <c r="Y82">
        <v>1585.1370683011139</v>
      </c>
      <c r="Z82">
        <v>1902.1644819613366</v>
      </c>
      <c r="AA82">
        <v>2219.1918956215595</v>
      </c>
      <c r="AB82">
        <v>2536.2193092817829</v>
      </c>
      <c r="AC82">
        <v>2853.2467229420054</v>
      </c>
      <c r="AD82">
        <v>3170.2741366022278</v>
      </c>
      <c r="AG82">
        <v>5500</v>
      </c>
      <c r="AH82">
        <v>1137.8480265863434</v>
      </c>
      <c r="AI82">
        <v>1753.6395333333369</v>
      </c>
    </row>
    <row r="83" spans="20:35" x14ac:dyDescent="0.45">
      <c r="T83">
        <v>5600</v>
      </c>
      <c r="U83">
        <v>317.88315588244507</v>
      </c>
      <c r="V83">
        <v>635.76631176489013</v>
      </c>
      <c r="W83">
        <v>953.64946764733497</v>
      </c>
      <c r="X83">
        <v>1271.5326235297803</v>
      </c>
      <c r="Y83">
        <v>1589.4157794122252</v>
      </c>
      <c r="Z83">
        <v>1907.2989352946699</v>
      </c>
      <c r="AA83">
        <v>2225.1820911771151</v>
      </c>
      <c r="AB83">
        <v>2543.0652470595605</v>
      </c>
      <c r="AC83">
        <v>2860.948402942005</v>
      </c>
      <c r="AD83">
        <v>3178.8315588244504</v>
      </c>
      <c r="AG83">
        <v>5600</v>
      </c>
      <c r="AH83">
        <v>1140.9193843203018</v>
      </c>
      <c r="AI83">
        <v>1753.6395333333369</v>
      </c>
    </row>
    <row r="84" spans="20:35" x14ac:dyDescent="0.45">
      <c r="T84">
        <v>5700</v>
      </c>
      <c r="U84">
        <v>318.73889810466727</v>
      </c>
      <c r="V84">
        <v>637.47779620933454</v>
      </c>
      <c r="W84">
        <v>956.21669431400176</v>
      </c>
      <c r="X84">
        <v>1274.9555924186691</v>
      </c>
      <c r="Y84">
        <v>1593.6944905233363</v>
      </c>
      <c r="Z84">
        <v>1912.4333886280035</v>
      </c>
      <c r="AA84">
        <v>2231.1722867326703</v>
      </c>
      <c r="AB84">
        <v>2549.9111848373382</v>
      </c>
      <c r="AC84">
        <v>2868.6500829420052</v>
      </c>
      <c r="AD84">
        <v>3187.3889810466726</v>
      </c>
      <c r="AG84">
        <v>5700</v>
      </c>
      <c r="AH84">
        <v>1143.9907420542604</v>
      </c>
      <c r="AI84">
        <v>1753.6395333333369</v>
      </c>
    </row>
    <row r="85" spans="20:35" x14ac:dyDescent="0.45">
      <c r="T85">
        <v>5800</v>
      </c>
      <c r="U85">
        <v>319.59464032688948</v>
      </c>
      <c r="V85">
        <v>639.18928065377895</v>
      </c>
      <c r="W85">
        <v>958.78392098066843</v>
      </c>
      <c r="X85">
        <v>1278.3785613075579</v>
      </c>
      <c r="Y85">
        <v>1597.9732016344474</v>
      </c>
      <c r="Z85">
        <v>1917.5678419613369</v>
      </c>
      <c r="AA85">
        <v>2237.1624822882259</v>
      </c>
      <c r="AB85">
        <v>2556.7571226151158</v>
      </c>
      <c r="AC85">
        <v>2876.3517629420053</v>
      </c>
      <c r="AD85">
        <v>3195.9464032688948</v>
      </c>
      <c r="AG85">
        <v>5800</v>
      </c>
      <c r="AH85">
        <v>1147.0620997882188</v>
      </c>
      <c r="AI85">
        <v>1753.6395333333369</v>
      </c>
    </row>
    <row r="86" spans="20:35" x14ac:dyDescent="0.45">
      <c r="T86">
        <v>5900</v>
      </c>
      <c r="U86">
        <v>320.45038254911174</v>
      </c>
      <c r="V86">
        <v>640.90076509822347</v>
      </c>
      <c r="W86">
        <v>961.35114764733521</v>
      </c>
      <c r="X86">
        <v>1281.8015301964469</v>
      </c>
      <c r="Y86">
        <v>1602.2519127455587</v>
      </c>
      <c r="Z86">
        <v>1922.7022952946704</v>
      </c>
      <c r="AA86">
        <v>2243.1526778437819</v>
      </c>
      <c r="AB86">
        <v>2563.6030603928939</v>
      </c>
      <c r="AC86">
        <v>2884.0534429420054</v>
      </c>
      <c r="AD86">
        <v>3204.5038254911174</v>
      </c>
      <c r="AG86">
        <v>5900</v>
      </c>
      <c r="AH86">
        <v>1150.1334575221774</v>
      </c>
      <c r="AI86">
        <v>1753.6395333333369</v>
      </c>
    </row>
    <row r="87" spans="20:35" x14ac:dyDescent="0.45">
      <c r="T87">
        <v>6000</v>
      </c>
      <c r="U87">
        <v>321.306124771334</v>
      </c>
      <c r="V87">
        <v>642.612249542668</v>
      </c>
      <c r="W87">
        <v>963.91837431400177</v>
      </c>
      <c r="X87">
        <v>1285.224499085336</v>
      </c>
      <c r="Y87">
        <v>1606.5306238566698</v>
      </c>
      <c r="Z87">
        <v>1927.8367486280035</v>
      </c>
      <c r="AA87">
        <v>2249.1428733993371</v>
      </c>
      <c r="AB87">
        <v>2570.448998170672</v>
      </c>
      <c r="AC87">
        <v>2891.7551229420055</v>
      </c>
      <c r="AD87">
        <v>3213.0612477133395</v>
      </c>
      <c r="AG87">
        <v>6000</v>
      </c>
      <c r="AH87">
        <v>1153.2048152561358</v>
      </c>
      <c r="AI87">
        <v>1753.6395333333369</v>
      </c>
    </row>
    <row r="88" spans="20:35" x14ac:dyDescent="0.45">
      <c r="T88">
        <v>6100</v>
      </c>
      <c r="U88">
        <v>322.1618669935562</v>
      </c>
      <c r="V88">
        <v>644.3237339871124</v>
      </c>
      <c r="W88">
        <v>966.48560098066844</v>
      </c>
      <c r="X88">
        <v>1288.6474679742248</v>
      </c>
      <c r="Y88">
        <v>1610.8093349677808</v>
      </c>
      <c r="Z88">
        <v>1932.9712019613369</v>
      </c>
      <c r="AA88">
        <v>2255.1330689548931</v>
      </c>
      <c r="AB88">
        <v>2577.2949359484496</v>
      </c>
      <c r="AC88">
        <v>2899.4568029420057</v>
      </c>
      <c r="AD88">
        <v>3221.6186699355617</v>
      </c>
      <c r="AG88">
        <v>6100</v>
      </c>
      <c r="AH88">
        <v>1156.2761729900942</v>
      </c>
      <c r="AI88">
        <v>1753.6395333333369</v>
      </c>
    </row>
    <row r="89" spans="20:35" x14ac:dyDescent="0.45">
      <c r="T89">
        <v>6200</v>
      </c>
      <c r="U89">
        <v>323.01760921577841</v>
      </c>
      <c r="V89">
        <v>646.03521843155681</v>
      </c>
      <c r="W89">
        <v>969.05282764733511</v>
      </c>
      <c r="X89">
        <v>1292.0704368631136</v>
      </c>
      <c r="Y89">
        <v>1615.0880460788919</v>
      </c>
      <c r="Z89">
        <v>1938.1056552946702</v>
      </c>
      <c r="AA89">
        <v>2261.1232645104487</v>
      </c>
      <c r="AB89">
        <v>2584.1408737262273</v>
      </c>
      <c r="AC89">
        <v>2907.1584829420058</v>
      </c>
      <c r="AD89">
        <v>3230.1760921577838</v>
      </c>
      <c r="AG89">
        <v>6200</v>
      </c>
      <c r="AH89">
        <v>1159.3475307240526</v>
      </c>
      <c r="AI89">
        <v>1753.6395333333369</v>
      </c>
    </row>
    <row r="90" spans="20:35" x14ac:dyDescent="0.45">
      <c r="T90">
        <v>6300</v>
      </c>
      <c r="U90">
        <v>323.87335143800061</v>
      </c>
      <c r="V90">
        <v>647.74670287600122</v>
      </c>
      <c r="W90">
        <v>971.62005431400178</v>
      </c>
      <c r="X90">
        <v>1295.4934057520024</v>
      </c>
      <c r="Y90">
        <v>1619.366757190003</v>
      </c>
      <c r="Z90">
        <v>1943.2401086280036</v>
      </c>
      <c r="AA90">
        <v>2267.1134600660043</v>
      </c>
      <c r="AB90">
        <v>2590.9868115040049</v>
      </c>
      <c r="AC90">
        <v>2914.8601629420059</v>
      </c>
      <c r="AD90">
        <v>3238.733514380006</v>
      </c>
      <c r="AG90">
        <v>6300</v>
      </c>
      <c r="AH90">
        <v>1162.418888458011</v>
      </c>
      <c r="AI90">
        <v>1753.6395333333369</v>
      </c>
    </row>
    <row r="91" spans="20:35" x14ac:dyDescent="0.45">
      <c r="T91">
        <v>6400</v>
      </c>
      <c r="U91">
        <v>324.72909366022282</v>
      </c>
      <c r="V91">
        <v>649.45818732044563</v>
      </c>
      <c r="W91">
        <v>974.18728098066845</v>
      </c>
      <c r="X91">
        <v>1298.9163746408913</v>
      </c>
      <c r="Y91">
        <v>1623.6454683011141</v>
      </c>
      <c r="Z91">
        <v>1948.3745619613369</v>
      </c>
      <c r="AA91">
        <v>2273.1036556215599</v>
      </c>
      <c r="AB91">
        <v>2597.8327492817825</v>
      </c>
      <c r="AC91">
        <v>2922.5618429420056</v>
      </c>
      <c r="AD91">
        <v>3247.2909366022282</v>
      </c>
      <c r="AG91">
        <v>6400</v>
      </c>
      <c r="AH91">
        <v>1165.4902461919694</v>
      </c>
      <c r="AI91">
        <v>1753.6395333333369</v>
      </c>
    </row>
    <row r="92" spans="20:35" x14ac:dyDescent="0.45">
      <c r="T92">
        <v>6500</v>
      </c>
      <c r="U92">
        <v>325.58483588244508</v>
      </c>
      <c r="V92">
        <v>651.16967176489015</v>
      </c>
      <c r="W92">
        <v>976.75450764733512</v>
      </c>
      <c r="X92">
        <v>1302.3393435297803</v>
      </c>
      <c r="Y92">
        <v>1627.9241794122252</v>
      </c>
      <c r="Z92">
        <v>1953.5090152946702</v>
      </c>
      <c r="AA92">
        <v>2279.0938511771151</v>
      </c>
      <c r="AB92">
        <v>2604.6786870595606</v>
      </c>
      <c r="AC92">
        <v>2930.2635229420057</v>
      </c>
      <c r="AD92">
        <v>3255.8483588244503</v>
      </c>
      <c r="AG92">
        <v>6500</v>
      </c>
      <c r="AH92">
        <v>1168.5616039259278</v>
      </c>
      <c r="AI92">
        <v>1753.6395333333369</v>
      </c>
    </row>
    <row r="93" spans="20:35" x14ac:dyDescent="0.45">
      <c r="T93">
        <v>6600</v>
      </c>
      <c r="U93">
        <v>326.44057810466728</v>
      </c>
      <c r="V93">
        <v>652.88115620933456</v>
      </c>
      <c r="W93">
        <v>979.32173431400179</v>
      </c>
      <c r="X93">
        <v>1305.7623124186691</v>
      </c>
      <c r="Y93">
        <v>1632.2028905233365</v>
      </c>
      <c r="Z93">
        <v>1958.6434686280036</v>
      </c>
      <c r="AA93">
        <v>2285.0840467326707</v>
      </c>
      <c r="AB93">
        <v>2611.5246248373383</v>
      </c>
      <c r="AC93">
        <v>2937.9652029420054</v>
      </c>
      <c r="AD93">
        <v>3264.4057810466729</v>
      </c>
      <c r="AG93">
        <v>6600</v>
      </c>
      <c r="AH93">
        <v>1171.6329616598864</v>
      </c>
      <c r="AI93">
        <v>1753.6395333333369</v>
      </c>
    </row>
    <row r="94" spans="20:35" x14ac:dyDescent="0.45">
      <c r="T94">
        <v>6700</v>
      </c>
      <c r="U94">
        <v>327.29632032688954</v>
      </c>
      <c r="V94">
        <v>654.59264065377909</v>
      </c>
      <c r="W94">
        <v>981.88896098066846</v>
      </c>
      <c r="X94">
        <v>1309.1852813075582</v>
      </c>
      <c r="Y94">
        <v>1636.4816016344475</v>
      </c>
      <c r="Z94">
        <v>1963.7779219613369</v>
      </c>
      <c r="AA94">
        <v>2291.0742422882263</v>
      </c>
      <c r="AB94">
        <v>2618.3705626151163</v>
      </c>
      <c r="AC94">
        <v>2945.6668829420055</v>
      </c>
      <c r="AD94">
        <v>3272.9632032688951</v>
      </c>
      <c r="AG94">
        <v>6700</v>
      </c>
      <c r="AH94">
        <v>1174.7043193938448</v>
      </c>
      <c r="AI94">
        <v>1753.6395333333369</v>
      </c>
    </row>
    <row r="95" spans="20:35" x14ac:dyDescent="0.45">
      <c r="T95">
        <v>6800</v>
      </c>
      <c r="U95">
        <v>328.15206254911175</v>
      </c>
      <c r="V95">
        <v>656.30412509822349</v>
      </c>
      <c r="W95">
        <v>984.45618764733513</v>
      </c>
      <c r="X95">
        <v>1312.608250196447</v>
      </c>
      <c r="Y95">
        <v>1640.7603127455586</v>
      </c>
      <c r="Z95">
        <v>1968.9123752946703</v>
      </c>
      <c r="AA95">
        <v>2297.0644378437819</v>
      </c>
      <c r="AB95">
        <v>2625.216500392894</v>
      </c>
      <c r="AC95">
        <v>2953.3685629420056</v>
      </c>
      <c r="AD95">
        <v>3281.5206254911172</v>
      </c>
      <c r="AG95">
        <v>6800</v>
      </c>
      <c r="AH95">
        <v>1177.7756771278032</v>
      </c>
      <c r="AI95">
        <v>1753.6395333333369</v>
      </c>
    </row>
    <row r="96" spans="20:35" x14ac:dyDescent="0.45">
      <c r="T96">
        <v>6900</v>
      </c>
      <c r="U96">
        <v>329.00780477133395</v>
      </c>
      <c r="V96">
        <v>658.0156095426679</v>
      </c>
      <c r="W96">
        <v>987.0234143140018</v>
      </c>
      <c r="X96">
        <v>1316.0312190853358</v>
      </c>
      <c r="Y96">
        <v>1645.0390238566697</v>
      </c>
      <c r="Z96">
        <v>1974.0468286280036</v>
      </c>
      <c r="AA96">
        <v>2303.0546333993375</v>
      </c>
      <c r="AB96">
        <v>2632.0624381706716</v>
      </c>
      <c r="AC96">
        <v>2961.0702429420053</v>
      </c>
      <c r="AD96">
        <v>3290.0780477133394</v>
      </c>
      <c r="AG96">
        <v>6900</v>
      </c>
      <c r="AH96">
        <v>1180.8470348617616</v>
      </c>
      <c r="AI96">
        <v>1753.6395333333369</v>
      </c>
    </row>
    <row r="97" spans="20:35" x14ac:dyDescent="0.45">
      <c r="T97">
        <v>7000</v>
      </c>
      <c r="U97">
        <v>329.86354699355621</v>
      </c>
      <c r="V97">
        <v>659.72709398711243</v>
      </c>
      <c r="W97">
        <v>989.59064098066835</v>
      </c>
      <c r="X97">
        <v>1319.4541879742249</v>
      </c>
      <c r="Y97">
        <v>1649.3177349677808</v>
      </c>
      <c r="Z97">
        <v>1979.1812819613367</v>
      </c>
      <c r="AA97">
        <v>2309.0448289548926</v>
      </c>
      <c r="AB97">
        <v>2638.9083759484497</v>
      </c>
      <c r="AC97">
        <v>2968.7719229420054</v>
      </c>
      <c r="AD97">
        <v>3298.6354699355616</v>
      </c>
      <c r="AG97">
        <v>7000</v>
      </c>
      <c r="AH97">
        <v>1183.91839259572</v>
      </c>
      <c r="AI97">
        <v>1753.6395333333369</v>
      </c>
    </row>
    <row r="98" spans="20:35" x14ac:dyDescent="0.45">
      <c r="T98">
        <v>7100</v>
      </c>
      <c r="U98">
        <v>330.71928921577842</v>
      </c>
      <c r="V98">
        <v>661.43857843155683</v>
      </c>
      <c r="W98">
        <v>992.15786764733502</v>
      </c>
      <c r="X98">
        <v>1322.8771568631137</v>
      </c>
      <c r="Y98">
        <v>1653.5964460788919</v>
      </c>
      <c r="Z98">
        <v>1984.31573529467</v>
      </c>
      <c r="AA98">
        <v>2315.0350245104482</v>
      </c>
      <c r="AB98">
        <v>2645.7543137262273</v>
      </c>
      <c r="AC98">
        <v>2976.4736029420051</v>
      </c>
      <c r="AD98">
        <v>3307.1928921577837</v>
      </c>
      <c r="AG98">
        <v>7100</v>
      </c>
      <c r="AH98">
        <v>1186.9897503296784</v>
      </c>
      <c r="AI98">
        <v>1753.6395333333369</v>
      </c>
    </row>
    <row r="99" spans="20:35" x14ac:dyDescent="0.45">
      <c r="T99">
        <v>7200</v>
      </c>
      <c r="U99">
        <v>331.57503143800062</v>
      </c>
      <c r="V99">
        <v>663.15006287600124</v>
      </c>
      <c r="W99">
        <v>994.72509431400169</v>
      </c>
      <c r="X99">
        <v>1326.3001257520025</v>
      </c>
      <c r="Y99">
        <v>1657.8751571900029</v>
      </c>
      <c r="Z99">
        <v>1989.4501886280034</v>
      </c>
      <c r="AA99">
        <v>2321.0252200660038</v>
      </c>
      <c r="AB99">
        <v>2652.600251504005</v>
      </c>
      <c r="AC99">
        <v>2984.1752829420057</v>
      </c>
      <c r="AD99">
        <v>3315.7503143800059</v>
      </c>
      <c r="AG99">
        <v>7200</v>
      </c>
      <c r="AH99">
        <v>1190.0611080636368</v>
      </c>
      <c r="AI99">
        <v>1753.6395333333369</v>
      </c>
    </row>
    <row r="100" spans="20:35" x14ac:dyDescent="0.45">
      <c r="T100">
        <v>7300</v>
      </c>
      <c r="U100">
        <v>332.43077366022288</v>
      </c>
      <c r="V100">
        <v>664.86154732044577</v>
      </c>
      <c r="W100">
        <v>997.29232098066848</v>
      </c>
      <c r="X100">
        <v>1329.7230946408915</v>
      </c>
      <c r="Y100">
        <v>1662.1538683011142</v>
      </c>
      <c r="Z100">
        <v>1994.584641961337</v>
      </c>
      <c r="AA100">
        <v>2327.0154156215599</v>
      </c>
      <c r="AB100">
        <v>2659.4461892817831</v>
      </c>
      <c r="AC100">
        <v>2991.8769629420058</v>
      </c>
      <c r="AD100">
        <v>3324.3077366022285</v>
      </c>
      <c r="AG100">
        <v>7300</v>
      </c>
      <c r="AH100">
        <v>1193.1324657975954</v>
      </c>
      <c r="AI100">
        <v>1753.6395333333369</v>
      </c>
    </row>
    <row r="101" spans="20:35" x14ac:dyDescent="0.45">
      <c r="T101">
        <v>7400</v>
      </c>
      <c r="U101">
        <v>333.28651588244503</v>
      </c>
      <c r="V101">
        <v>666.57303176489006</v>
      </c>
      <c r="W101">
        <v>999.85954764733515</v>
      </c>
      <c r="X101">
        <v>1333.1460635297801</v>
      </c>
      <c r="Y101">
        <v>1666.4325794122251</v>
      </c>
      <c r="Z101">
        <v>1999.7190952946703</v>
      </c>
      <c r="AA101">
        <v>2333.005611177115</v>
      </c>
      <c r="AB101">
        <v>2666.2921270595602</v>
      </c>
      <c r="AC101">
        <v>2999.5786429420054</v>
      </c>
      <c r="AD101">
        <v>3332.8651588244502</v>
      </c>
      <c r="AG101">
        <v>7400</v>
      </c>
      <c r="AH101">
        <v>1196.2038235315538</v>
      </c>
      <c r="AI101">
        <v>1753.6395333333369</v>
      </c>
    </row>
    <row r="102" spans="20:35" x14ac:dyDescent="0.45">
      <c r="T102">
        <v>7500</v>
      </c>
      <c r="U102">
        <v>334.14225810466729</v>
      </c>
      <c r="V102">
        <v>668.28451620933458</v>
      </c>
      <c r="W102">
        <v>1002.4267743140019</v>
      </c>
      <c r="X102">
        <v>1336.5690324186692</v>
      </c>
      <c r="Y102">
        <v>1670.7112905233364</v>
      </c>
      <c r="Z102">
        <v>2004.8535486280039</v>
      </c>
      <c r="AA102">
        <v>2338.9958067326706</v>
      </c>
      <c r="AB102">
        <v>2673.1380648373383</v>
      </c>
      <c r="AC102">
        <v>3007.280322942006</v>
      </c>
      <c r="AD102">
        <v>3341.4225810466728</v>
      </c>
      <c r="AG102">
        <v>7500</v>
      </c>
      <c r="AH102">
        <v>1199.2751812655124</v>
      </c>
      <c r="AI102">
        <v>1753.6395333333369</v>
      </c>
    </row>
    <row r="103" spans="20:35" x14ac:dyDescent="0.45">
      <c r="T103">
        <v>7600</v>
      </c>
      <c r="U103">
        <v>334.99800032688955</v>
      </c>
      <c r="V103">
        <v>669.99600065377911</v>
      </c>
      <c r="W103">
        <v>1004.9940009806685</v>
      </c>
      <c r="X103">
        <v>1339.9920013075582</v>
      </c>
      <c r="Y103">
        <v>1674.9900016344477</v>
      </c>
      <c r="Z103">
        <v>2009.988001961337</v>
      </c>
      <c r="AA103">
        <v>2344.9860022882267</v>
      </c>
      <c r="AB103">
        <v>2679.9840026151164</v>
      </c>
      <c r="AC103">
        <v>3014.9820029420057</v>
      </c>
      <c r="AD103">
        <v>3349.9800032688954</v>
      </c>
      <c r="AG103">
        <v>7600</v>
      </c>
      <c r="AH103">
        <v>1202.3465389994708</v>
      </c>
      <c r="AI103">
        <v>1753.6395333333369</v>
      </c>
    </row>
    <row r="104" spans="20:35" x14ac:dyDescent="0.45">
      <c r="T104">
        <v>7700</v>
      </c>
      <c r="U104">
        <v>335.85374254911176</v>
      </c>
      <c r="V104">
        <v>671.70748509822351</v>
      </c>
      <c r="W104">
        <v>1007.5612276473352</v>
      </c>
      <c r="X104">
        <v>1343.414970196447</v>
      </c>
      <c r="Y104">
        <v>1679.2687127455588</v>
      </c>
      <c r="Z104">
        <v>2015.1224552946703</v>
      </c>
      <c r="AA104">
        <v>2350.9761978437823</v>
      </c>
      <c r="AB104">
        <v>2686.8299403928941</v>
      </c>
      <c r="AC104">
        <v>3022.6836829420058</v>
      </c>
      <c r="AD104">
        <v>3358.5374254911176</v>
      </c>
      <c r="AG104">
        <v>7700</v>
      </c>
      <c r="AH104">
        <v>1205.4178967334292</v>
      </c>
      <c r="AI104">
        <v>1753.6395333333369</v>
      </c>
    </row>
    <row r="105" spans="20:35" x14ac:dyDescent="0.45">
      <c r="T105">
        <v>7800</v>
      </c>
      <c r="U105">
        <v>336.70948477133396</v>
      </c>
      <c r="V105">
        <v>673.41896954266792</v>
      </c>
      <c r="W105">
        <v>1010.1284543140018</v>
      </c>
      <c r="X105">
        <v>1346.8379390853358</v>
      </c>
      <c r="Y105">
        <v>1683.5474238566699</v>
      </c>
      <c r="Z105">
        <v>2020.2569086280037</v>
      </c>
      <c r="AA105">
        <v>2356.9663933993379</v>
      </c>
      <c r="AB105">
        <v>2693.6758781706717</v>
      </c>
      <c r="AC105">
        <v>3030.3853629420055</v>
      </c>
      <c r="AD105">
        <v>3367.0948477133397</v>
      </c>
      <c r="AG105">
        <v>7800</v>
      </c>
      <c r="AH105">
        <v>1208.4892544673876</v>
      </c>
      <c r="AI105">
        <v>1753.6395333333369</v>
      </c>
    </row>
    <row r="106" spans="20:35" x14ac:dyDescent="0.45">
      <c r="T106">
        <v>7900</v>
      </c>
      <c r="U106">
        <v>337.56522699355617</v>
      </c>
      <c r="V106">
        <v>675.13045398711233</v>
      </c>
      <c r="W106">
        <v>1012.6956809806685</v>
      </c>
      <c r="X106">
        <v>1350.2609079742247</v>
      </c>
      <c r="Y106">
        <v>1687.8261349677809</v>
      </c>
      <c r="Z106">
        <v>2025.391361961337</v>
      </c>
      <c r="AA106">
        <v>2362.956588954893</v>
      </c>
      <c r="AB106">
        <v>2700.5218159484493</v>
      </c>
      <c r="AC106">
        <v>3038.0870429420056</v>
      </c>
      <c r="AD106">
        <v>3375.6522699355619</v>
      </c>
      <c r="AG106">
        <v>7900</v>
      </c>
      <c r="AH106">
        <v>1211.560612201346</v>
      </c>
      <c r="AI106">
        <v>1753.6395333333369</v>
      </c>
    </row>
    <row r="107" spans="20:35" x14ac:dyDescent="0.45">
      <c r="T107">
        <v>8000</v>
      </c>
      <c r="U107">
        <v>338.42096921577843</v>
      </c>
      <c r="V107">
        <v>676.84193843155685</v>
      </c>
      <c r="W107">
        <v>1015.2629076473352</v>
      </c>
      <c r="X107">
        <v>1353.6838768631137</v>
      </c>
      <c r="Y107">
        <v>1692.104846078892</v>
      </c>
      <c r="Z107">
        <v>2030.5258152946703</v>
      </c>
      <c r="AA107">
        <v>2368.9467845104487</v>
      </c>
      <c r="AB107">
        <v>2707.3677537262274</v>
      </c>
      <c r="AC107">
        <v>3045.7887229420057</v>
      </c>
      <c r="AD107">
        <v>3384.209692157784</v>
      </c>
      <c r="AG107">
        <v>8000</v>
      </c>
      <c r="AH107">
        <v>1214.6319699353046</v>
      </c>
      <c r="AI107">
        <v>1753.6395333333369</v>
      </c>
    </row>
    <row r="108" spans="20:35" x14ac:dyDescent="0.45">
      <c r="T108">
        <v>8100</v>
      </c>
      <c r="U108">
        <v>339.27671143800069</v>
      </c>
      <c r="V108">
        <v>678.55342287600138</v>
      </c>
      <c r="W108">
        <v>1017.8301343140017</v>
      </c>
      <c r="X108">
        <v>1357.1068457520028</v>
      </c>
      <c r="Y108">
        <v>1696.3835571900031</v>
      </c>
      <c r="Z108">
        <v>2035.6602686280035</v>
      </c>
      <c r="AA108">
        <v>2374.9369800660043</v>
      </c>
      <c r="AB108">
        <v>2714.2136915040055</v>
      </c>
      <c r="AC108">
        <v>3053.4904029420054</v>
      </c>
      <c r="AD108">
        <v>3392.7671143800062</v>
      </c>
      <c r="AG108">
        <v>8100</v>
      </c>
      <c r="AH108">
        <v>1217.703327669263</v>
      </c>
      <c r="AI108">
        <v>1753.6395333333369</v>
      </c>
    </row>
    <row r="109" spans="20:35" x14ac:dyDescent="0.45">
      <c r="T109">
        <v>8200</v>
      </c>
      <c r="U109">
        <v>340.13245366022289</v>
      </c>
      <c r="V109">
        <v>680.26490732044579</v>
      </c>
      <c r="W109">
        <v>1020.3973609806685</v>
      </c>
      <c r="X109">
        <v>1360.5298146408916</v>
      </c>
      <c r="Y109">
        <v>1700.6622683011142</v>
      </c>
      <c r="Z109">
        <v>2040.794721961337</v>
      </c>
      <c r="AA109">
        <v>2380.9271756215599</v>
      </c>
      <c r="AB109">
        <v>2721.0596292817831</v>
      </c>
      <c r="AC109">
        <v>3061.1920829420055</v>
      </c>
      <c r="AD109">
        <v>3401.3245366022284</v>
      </c>
      <c r="AG109">
        <v>8200</v>
      </c>
      <c r="AH109">
        <v>1220.7746854032216</v>
      </c>
      <c r="AI109">
        <v>1753.6395333333369</v>
      </c>
    </row>
    <row r="110" spans="20:35" x14ac:dyDescent="0.45">
      <c r="T110">
        <v>8300</v>
      </c>
      <c r="U110">
        <v>340.98819588244515</v>
      </c>
      <c r="V110">
        <v>681.97639176489031</v>
      </c>
      <c r="W110">
        <v>1022.9645876473353</v>
      </c>
      <c r="X110">
        <v>1363.9527835297806</v>
      </c>
      <c r="Y110">
        <v>1704.9409794122255</v>
      </c>
      <c r="Z110">
        <v>2045.9291752946706</v>
      </c>
      <c r="AA110">
        <v>2386.9173711771155</v>
      </c>
      <c r="AB110">
        <v>2727.9055670595612</v>
      </c>
      <c r="AC110">
        <v>3068.8937629420061</v>
      </c>
      <c r="AD110">
        <v>3409.881958824451</v>
      </c>
      <c r="AG110">
        <v>8300</v>
      </c>
      <c r="AH110">
        <v>1223.8460431371802</v>
      </c>
      <c r="AI110">
        <v>1753.6395333333369</v>
      </c>
    </row>
    <row r="111" spans="20:35" x14ac:dyDescent="0.45">
      <c r="T111">
        <v>8400</v>
      </c>
      <c r="U111">
        <v>341.8439381046673</v>
      </c>
      <c r="V111">
        <v>683.6878762093346</v>
      </c>
      <c r="W111">
        <v>1025.5318143140018</v>
      </c>
      <c r="X111">
        <v>1367.3757524186692</v>
      </c>
      <c r="Y111">
        <v>1709.2196905233363</v>
      </c>
      <c r="Z111">
        <v>2051.0636286280037</v>
      </c>
      <c r="AA111">
        <v>2392.9075667326706</v>
      </c>
      <c r="AB111">
        <v>2734.7515048373384</v>
      </c>
      <c r="AC111">
        <v>3076.5954429420058</v>
      </c>
      <c r="AD111">
        <v>3418.4393810466727</v>
      </c>
      <c r="AG111">
        <v>8400</v>
      </c>
      <c r="AH111">
        <v>1226.9174008711384</v>
      </c>
      <c r="AI111">
        <v>1753.6395333333369</v>
      </c>
    </row>
    <row r="112" spans="20:35" x14ac:dyDescent="0.45">
      <c r="T112">
        <v>8500</v>
      </c>
      <c r="U112">
        <v>342.69968032688956</v>
      </c>
      <c r="V112">
        <v>685.39936065377913</v>
      </c>
      <c r="W112">
        <v>1028.0990409806686</v>
      </c>
      <c r="X112">
        <v>1370.7987213075583</v>
      </c>
      <c r="Y112">
        <v>1713.4984016344476</v>
      </c>
      <c r="Z112">
        <v>2056.1980819613373</v>
      </c>
      <c r="AA112">
        <v>2398.8977622882267</v>
      </c>
      <c r="AB112">
        <v>2741.5974426151165</v>
      </c>
      <c r="AC112">
        <v>3084.2971229420064</v>
      </c>
      <c r="AD112">
        <v>3426.9968032688953</v>
      </c>
      <c r="AG112">
        <v>8500</v>
      </c>
      <c r="AH112">
        <v>1229.988758605097</v>
      </c>
      <c r="AI112">
        <v>1753.6395333333369</v>
      </c>
    </row>
    <row r="113" spans="20:35" x14ac:dyDescent="0.45">
      <c r="T113">
        <v>8600</v>
      </c>
      <c r="U113">
        <v>343.55542254911177</v>
      </c>
      <c r="V113">
        <v>687.11084509822354</v>
      </c>
      <c r="W113">
        <v>1030.6662676473354</v>
      </c>
      <c r="X113">
        <v>1374.2216901964471</v>
      </c>
      <c r="Y113">
        <v>1717.777112745559</v>
      </c>
      <c r="Z113">
        <v>2061.3325352946708</v>
      </c>
      <c r="AA113">
        <v>2404.8879578437823</v>
      </c>
      <c r="AB113">
        <v>2748.4433803928941</v>
      </c>
      <c r="AC113">
        <v>3091.998802942006</v>
      </c>
      <c r="AD113">
        <v>3435.5542254911179</v>
      </c>
      <c r="AG113">
        <v>8600</v>
      </c>
      <c r="AH113">
        <v>1233.0601163390554</v>
      </c>
      <c r="AI113">
        <v>1753.6395333333369</v>
      </c>
    </row>
    <row r="114" spans="20:35" x14ac:dyDescent="0.45">
      <c r="T114">
        <v>8700</v>
      </c>
      <c r="U114">
        <v>344.41116477133403</v>
      </c>
      <c r="V114">
        <v>688.82232954266806</v>
      </c>
      <c r="W114">
        <v>1033.233494314002</v>
      </c>
      <c r="X114">
        <v>1377.6446590853361</v>
      </c>
      <c r="Y114">
        <v>1722.05582385667</v>
      </c>
      <c r="Z114">
        <v>2066.4669886280039</v>
      </c>
      <c r="AA114">
        <v>2410.8781533993374</v>
      </c>
      <c r="AB114">
        <v>2755.2893181706722</v>
      </c>
      <c r="AC114">
        <v>3099.7004829420061</v>
      </c>
      <c r="AD114">
        <v>3444.1116477133401</v>
      </c>
      <c r="AG114">
        <v>8700</v>
      </c>
      <c r="AH114">
        <v>1236.1314740730138</v>
      </c>
      <c r="AI114">
        <v>1753.6395333333369</v>
      </c>
    </row>
    <row r="115" spans="20:35" x14ac:dyDescent="0.45">
      <c r="T115">
        <v>8800</v>
      </c>
      <c r="U115">
        <v>345.26690699355623</v>
      </c>
      <c r="V115">
        <v>690.53381398711247</v>
      </c>
      <c r="W115">
        <v>1035.8007209806685</v>
      </c>
      <c r="X115">
        <v>1381.0676279742249</v>
      </c>
      <c r="Y115">
        <v>1726.3345349677811</v>
      </c>
      <c r="Z115">
        <v>2071.6014419613371</v>
      </c>
      <c r="AA115">
        <v>2416.868348954893</v>
      </c>
      <c r="AB115">
        <v>2762.1352559484499</v>
      </c>
      <c r="AC115">
        <v>3107.4021629420058</v>
      </c>
      <c r="AD115">
        <v>3452.6690699355622</v>
      </c>
      <c r="AG115">
        <v>8800</v>
      </c>
      <c r="AH115">
        <v>1239.2028318069722</v>
      </c>
      <c r="AI115">
        <v>1753.6395333333369</v>
      </c>
    </row>
    <row r="116" spans="20:35" x14ac:dyDescent="0.45">
      <c r="T116">
        <v>8900</v>
      </c>
      <c r="U116">
        <v>346.12264921577844</v>
      </c>
      <c r="V116">
        <v>692.24529843155688</v>
      </c>
      <c r="W116">
        <v>1038.3679476473353</v>
      </c>
      <c r="X116">
        <v>1384.4905968631138</v>
      </c>
      <c r="Y116">
        <v>1730.6132460788922</v>
      </c>
      <c r="Z116">
        <v>2076.7358952946706</v>
      </c>
      <c r="AA116">
        <v>2422.8585445104486</v>
      </c>
      <c r="AB116">
        <v>2768.9811937262275</v>
      </c>
      <c r="AC116">
        <v>3115.1038429420059</v>
      </c>
      <c r="AD116">
        <v>3461.2264921577844</v>
      </c>
      <c r="AG116">
        <v>8900</v>
      </c>
      <c r="AH116">
        <v>1242.2741895409306</v>
      </c>
      <c r="AI116">
        <v>1753.6395333333369</v>
      </c>
    </row>
    <row r="117" spans="20:35" x14ac:dyDescent="0.45">
      <c r="T117">
        <v>9000</v>
      </c>
      <c r="U117">
        <v>346.97839143800064</v>
      </c>
      <c r="V117">
        <v>693.95678287600128</v>
      </c>
      <c r="W117">
        <v>1040.9351743140019</v>
      </c>
      <c r="X117">
        <v>1387.9135657520026</v>
      </c>
      <c r="Y117">
        <v>1734.8919571900033</v>
      </c>
      <c r="Z117">
        <v>2081.8703486280037</v>
      </c>
      <c r="AA117">
        <v>2428.8487400660047</v>
      </c>
      <c r="AB117">
        <v>2775.8271315040051</v>
      </c>
      <c r="AC117">
        <v>3122.8055229420061</v>
      </c>
      <c r="AD117">
        <v>3469.7839143800065</v>
      </c>
      <c r="AG117">
        <v>9000</v>
      </c>
      <c r="AH117">
        <v>1245.3455472748892</v>
      </c>
      <c r="AI117">
        <v>1753.6395333333369</v>
      </c>
    </row>
    <row r="118" spans="20:35" x14ac:dyDescent="0.45">
      <c r="T118">
        <v>9100</v>
      </c>
      <c r="U118">
        <v>347.83413366022285</v>
      </c>
      <c r="V118">
        <v>695.66826732044569</v>
      </c>
      <c r="W118">
        <v>1043.5024009806687</v>
      </c>
      <c r="X118">
        <v>1391.3365346408914</v>
      </c>
      <c r="Y118">
        <v>1739.1706683011143</v>
      </c>
      <c r="Z118">
        <v>2087.0048019613373</v>
      </c>
      <c r="AA118">
        <v>2434.8389356215603</v>
      </c>
      <c r="AB118">
        <v>2782.6730692817828</v>
      </c>
      <c r="AC118">
        <v>3130.5072029420057</v>
      </c>
      <c r="AD118">
        <v>3478.3413366022287</v>
      </c>
      <c r="AG118">
        <v>9100</v>
      </c>
      <c r="AH118">
        <v>1248.4169050088476</v>
      </c>
      <c r="AI118">
        <v>1753.6395333333369</v>
      </c>
    </row>
    <row r="119" spans="20:35" x14ac:dyDescent="0.45">
      <c r="T119">
        <v>9200</v>
      </c>
      <c r="U119">
        <v>348.68987588244511</v>
      </c>
      <c r="V119">
        <v>697.37975176489022</v>
      </c>
      <c r="W119">
        <v>1046.0696276473352</v>
      </c>
      <c r="X119">
        <v>1394.7595035297804</v>
      </c>
      <c r="Y119">
        <v>1743.4493794122254</v>
      </c>
      <c r="Z119">
        <v>2092.1392552946704</v>
      </c>
      <c r="AA119">
        <v>2440.8291311771154</v>
      </c>
      <c r="AB119">
        <v>2789.5190070595609</v>
      </c>
      <c r="AC119">
        <v>3138.2088829420059</v>
      </c>
      <c r="AD119">
        <v>3486.8987588244509</v>
      </c>
      <c r="AG119">
        <v>9200</v>
      </c>
      <c r="AH119">
        <v>1251.488262742806</v>
      </c>
      <c r="AI119">
        <v>1753.6395333333369</v>
      </c>
    </row>
    <row r="120" spans="20:35" x14ac:dyDescent="0.45">
      <c r="T120">
        <v>9300</v>
      </c>
      <c r="U120">
        <v>349.54561810466737</v>
      </c>
      <c r="V120">
        <v>699.09123620933474</v>
      </c>
      <c r="W120">
        <v>1048.636854314002</v>
      </c>
      <c r="X120">
        <v>1398.1824724186695</v>
      </c>
      <c r="Y120">
        <v>1747.7280905233365</v>
      </c>
      <c r="Z120">
        <v>2097.273708628004</v>
      </c>
      <c r="AA120">
        <v>2446.819326732671</v>
      </c>
      <c r="AB120">
        <v>2796.364944837339</v>
      </c>
      <c r="AC120">
        <v>3145.9105629420055</v>
      </c>
      <c r="AD120">
        <v>3495.456181046673</v>
      </c>
      <c r="AG120">
        <v>9300</v>
      </c>
      <c r="AH120">
        <v>1254.5596204767644</v>
      </c>
      <c r="AI120">
        <v>1753.6395333333369</v>
      </c>
    </row>
    <row r="121" spans="20:35" x14ac:dyDescent="0.45">
      <c r="T121">
        <v>9400</v>
      </c>
      <c r="U121">
        <v>350.40136032688957</v>
      </c>
      <c r="V121">
        <v>700.80272065377915</v>
      </c>
      <c r="W121">
        <v>1051.2040809806686</v>
      </c>
      <c r="X121">
        <v>1401.6054413075583</v>
      </c>
      <c r="Y121">
        <v>1752.0068016344476</v>
      </c>
      <c r="Z121">
        <v>2102.4081619613371</v>
      </c>
      <c r="AA121">
        <v>2452.8095222882266</v>
      </c>
      <c r="AB121">
        <v>2803.2108826151166</v>
      </c>
      <c r="AC121">
        <v>3153.6122429420057</v>
      </c>
      <c r="AD121">
        <v>3504.0136032688952</v>
      </c>
      <c r="AG121">
        <v>9400</v>
      </c>
      <c r="AH121">
        <v>1257.6309782107228</v>
      </c>
      <c r="AI121">
        <v>1753.6395333333369</v>
      </c>
    </row>
    <row r="122" spans="20:35" x14ac:dyDescent="0.45">
      <c r="T122">
        <v>9500</v>
      </c>
      <c r="U122">
        <v>351.25710254911178</v>
      </c>
      <c r="V122">
        <v>702.51420509822356</v>
      </c>
      <c r="W122">
        <v>1053.7713076473351</v>
      </c>
      <c r="X122">
        <v>1405.0284101964471</v>
      </c>
      <c r="Y122">
        <v>1756.2855127455587</v>
      </c>
      <c r="Z122">
        <v>2107.5426152946702</v>
      </c>
      <c r="AA122">
        <v>2458.7997178437822</v>
      </c>
      <c r="AB122">
        <v>2810.0568203928942</v>
      </c>
      <c r="AC122">
        <v>3161.3139229420062</v>
      </c>
      <c r="AD122">
        <v>3512.5710254911173</v>
      </c>
      <c r="AG122">
        <v>9500</v>
      </c>
      <c r="AH122">
        <v>1260.7023359446812</v>
      </c>
      <c r="AI122">
        <v>1753.6395333333369</v>
      </c>
    </row>
    <row r="123" spans="20:35" x14ac:dyDescent="0.45">
      <c r="T123">
        <v>9600</v>
      </c>
      <c r="U123">
        <v>352.11284477133398</v>
      </c>
      <c r="V123">
        <v>704.22568954266796</v>
      </c>
      <c r="W123">
        <v>1056.3385343140019</v>
      </c>
      <c r="X123">
        <v>1408.4513790853359</v>
      </c>
      <c r="Y123">
        <v>1760.5642238566697</v>
      </c>
      <c r="Z123">
        <v>2112.6770686280038</v>
      </c>
      <c r="AA123">
        <v>2464.7899133993378</v>
      </c>
      <c r="AB123">
        <v>2816.9027581706719</v>
      </c>
      <c r="AC123">
        <v>3169.0156029420059</v>
      </c>
      <c r="AD123">
        <v>3521.1284477133395</v>
      </c>
      <c r="AG123">
        <v>9600</v>
      </c>
      <c r="AH123">
        <v>1263.7736936786396</v>
      </c>
      <c r="AI123">
        <v>1753.6395333333369</v>
      </c>
    </row>
    <row r="124" spans="20:35" x14ac:dyDescent="0.45">
      <c r="T124">
        <v>9700</v>
      </c>
      <c r="U124">
        <v>352.96858699355624</v>
      </c>
      <c r="V124">
        <v>705.93717398711249</v>
      </c>
      <c r="W124">
        <v>1058.9057609806684</v>
      </c>
      <c r="X124">
        <v>1411.874347974225</v>
      </c>
      <c r="Y124">
        <v>1764.842934967781</v>
      </c>
      <c r="Z124">
        <v>2117.8115219613369</v>
      </c>
      <c r="AA124">
        <v>2470.780108954893</v>
      </c>
      <c r="AB124">
        <v>2823.7486959484499</v>
      </c>
      <c r="AC124">
        <v>3176.717282942006</v>
      </c>
      <c r="AD124">
        <v>3529.6858699355621</v>
      </c>
      <c r="AG124">
        <v>9700</v>
      </c>
      <c r="AH124">
        <v>1266.8450514125982</v>
      </c>
      <c r="AI124">
        <v>1753.6395333333369</v>
      </c>
    </row>
    <row r="125" spans="20:35" x14ac:dyDescent="0.45">
      <c r="T125">
        <v>9800</v>
      </c>
      <c r="U125">
        <v>353.8243292157785</v>
      </c>
      <c r="V125">
        <v>707.64865843155701</v>
      </c>
      <c r="W125">
        <v>1061.4729876473352</v>
      </c>
      <c r="X125">
        <v>1415.297316863114</v>
      </c>
      <c r="Y125">
        <v>1769.1216460788924</v>
      </c>
      <c r="Z125">
        <v>2122.9459752946705</v>
      </c>
      <c r="AA125">
        <v>2476.770304510449</v>
      </c>
      <c r="AB125">
        <v>2830.594633726228</v>
      </c>
      <c r="AC125">
        <v>3184.4189629420061</v>
      </c>
      <c r="AD125">
        <v>3538.2432921577847</v>
      </c>
      <c r="AG125">
        <v>9800</v>
      </c>
      <c r="AH125">
        <v>1269.9164091465566</v>
      </c>
      <c r="AI125">
        <v>1753.6395333333369</v>
      </c>
    </row>
    <row r="126" spans="20:35" x14ac:dyDescent="0.45">
      <c r="T126">
        <v>9900</v>
      </c>
      <c r="U126">
        <v>354.68007143800065</v>
      </c>
      <c r="V126">
        <v>709.36014287600131</v>
      </c>
      <c r="W126">
        <v>1064.0402143140018</v>
      </c>
      <c r="X126">
        <v>1418.7202857520026</v>
      </c>
      <c r="Y126">
        <v>1773.4003571900032</v>
      </c>
      <c r="Z126">
        <v>2128.0804286280036</v>
      </c>
      <c r="AA126">
        <v>2482.7605000660042</v>
      </c>
      <c r="AB126">
        <v>2837.4405715040052</v>
      </c>
      <c r="AC126">
        <v>3192.1206429420058</v>
      </c>
      <c r="AD126">
        <v>3546.8007143800064</v>
      </c>
      <c r="AG126">
        <v>9900</v>
      </c>
      <c r="AH126">
        <v>1272.987766880515</v>
      </c>
      <c r="AI126">
        <v>1753.6395333333369</v>
      </c>
    </row>
    <row r="127" spans="20:35" x14ac:dyDescent="0.45">
      <c r="T127">
        <v>10000</v>
      </c>
      <c r="U127">
        <v>355.53581366022291</v>
      </c>
      <c r="V127">
        <v>711.07162732044583</v>
      </c>
      <c r="W127">
        <v>1066.6074409806686</v>
      </c>
      <c r="X127">
        <v>1422.1432546408917</v>
      </c>
      <c r="Y127">
        <v>1777.6790683011145</v>
      </c>
      <c r="Z127">
        <v>2133.2148819613371</v>
      </c>
      <c r="AA127">
        <v>2488.7506956215602</v>
      </c>
      <c r="AB127">
        <v>2844.2865092817833</v>
      </c>
      <c r="AC127">
        <v>3199.8223229420059</v>
      </c>
      <c r="AD127">
        <v>3555.358136602229</v>
      </c>
      <c r="AG127">
        <v>10000</v>
      </c>
      <c r="AH127">
        <v>1276.0591246144736</v>
      </c>
      <c r="AI127">
        <v>1753.6395333333369</v>
      </c>
    </row>
    <row r="135" spans="20:40" x14ac:dyDescent="0.45">
      <c r="T135">
        <f>Q10</f>
        <v>36352.42500312347</v>
      </c>
      <c r="U135">
        <v>0.1</v>
      </c>
      <c r="V135">
        <v>0.2</v>
      </c>
      <c r="W135">
        <v>0.3</v>
      </c>
      <c r="X135">
        <v>0.4</v>
      </c>
      <c r="Y135">
        <v>0.5</v>
      </c>
      <c r="Z135">
        <v>0.6</v>
      </c>
      <c r="AA135">
        <v>0.7</v>
      </c>
      <c r="AB135">
        <v>0.8</v>
      </c>
      <c r="AC135">
        <v>0.9</v>
      </c>
      <c r="AD135">
        <v>1</v>
      </c>
      <c r="AE135">
        <v>1.1000000000000001</v>
      </c>
      <c r="AF135">
        <v>1.2</v>
      </c>
      <c r="AG135">
        <v>1.3</v>
      </c>
      <c r="AH135">
        <v>1.4</v>
      </c>
      <c r="AI135">
        <v>1.5</v>
      </c>
      <c r="AJ135">
        <v>1.6</v>
      </c>
      <c r="AK135">
        <v>1.7</v>
      </c>
      <c r="AL135">
        <v>1.8</v>
      </c>
      <c r="AM135">
        <v>1.9</v>
      </c>
      <c r="AN135">
        <v>2</v>
      </c>
    </row>
    <row r="136" spans="20:40" x14ac:dyDescent="0.45">
      <c r="T136">
        <v>0.1</v>
      </c>
      <c r="U136">
        <f t="dataTable" ref="U136:AN155" dt2D="1" dtr="1" r1="M2" r2="M3" ca="1"/>
        <v>396335.24250031315</v>
      </c>
      <c r="V136">
        <v>396335.24250031315</v>
      </c>
      <c r="W136">
        <v>396335.24250031315</v>
      </c>
      <c r="X136">
        <v>396335.24250031315</v>
      </c>
      <c r="Y136">
        <v>396335.24250031315</v>
      </c>
      <c r="Z136">
        <v>396335.24250031315</v>
      </c>
      <c r="AA136">
        <v>396335.24250031315</v>
      </c>
      <c r="AB136">
        <v>396335.24250031315</v>
      </c>
      <c r="AC136">
        <v>396335.24250031315</v>
      </c>
      <c r="AD136">
        <v>396335.24250031315</v>
      </c>
      <c r="AE136">
        <v>396335.24250031315</v>
      </c>
      <c r="AF136">
        <v>396335.24250031315</v>
      </c>
      <c r="AG136">
        <v>396335.24250031315</v>
      </c>
      <c r="AH136">
        <v>396335.24250031315</v>
      </c>
      <c r="AI136">
        <v>396335.24250031315</v>
      </c>
      <c r="AJ136">
        <v>396335.24250031315</v>
      </c>
      <c r="AK136">
        <v>396335.24250031315</v>
      </c>
      <c r="AL136">
        <v>396335.24250031315</v>
      </c>
      <c r="AM136">
        <v>396335.24250031315</v>
      </c>
      <c r="AN136">
        <v>396335.24250031315</v>
      </c>
    </row>
    <row r="137" spans="20:40" x14ac:dyDescent="0.45">
      <c r="T137">
        <v>0.2</v>
      </c>
      <c r="U137">
        <v>356337.15166729206</v>
      </c>
      <c r="V137">
        <v>356337.15166729206</v>
      </c>
      <c r="W137">
        <v>356337.15166729206</v>
      </c>
      <c r="X137">
        <v>356337.15166729206</v>
      </c>
      <c r="Y137">
        <v>356337.15166729206</v>
      </c>
      <c r="Z137">
        <v>356337.15166729206</v>
      </c>
      <c r="AA137">
        <v>356337.15166729206</v>
      </c>
      <c r="AB137">
        <v>356337.15166729206</v>
      </c>
      <c r="AC137">
        <v>356337.15166729206</v>
      </c>
      <c r="AD137">
        <v>356337.15166729206</v>
      </c>
      <c r="AE137">
        <v>356337.15166729206</v>
      </c>
      <c r="AF137">
        <v>356337.15166729206</v>
      </c>
      <c r="AG137">
        <v>356337.15166729206</v>
      </c>
      <c r="AH137">
        <v>356337.15166729206</v>
      </c>
      <c r="AI137">
        <v>356337.15166729206</v>
      </c>
      <c r="AJ137">
        <v>356337.15166729206</v>
      </c>
      <c r="AK137">
        <v>356337.15166729206</v>
      </c>
      <c r="AL137">
        <v>356337.15166729206</v>
      </c>
      <c r="AM137">
        <v>356337.15166729206</v>
      </c>
      <c r="AN137">
        <v>356337.15166729206</v>
      </c>
    </row>
    <row r="138" spans="20:40" x14ac:dyDescent="0.45">
      <c r="T138">
        <v>0.3</v>
      </c>
      <c r="U138">
        <v>316339.06083427102</v>
      </c>
      <c r="V138">
        <v>316339.06083427102</v>
      </c>
      <c r="W138">
        <v>316339.06083427102</v>
      </c>
      <c r="X138">
        <v>316339.06083427102</v>
      </c>
      <c r="Y138">
        <v>316339.06083427102</v>
      </c>
      <c r="Z138">
        <v>316339.06083427102</v>
      </c>
      <c r="AA138">
        <v>316339.06083427102</v>
      </c>
      <c r="AB138">
        <v>316339.06083427102</v>
      </c>
      <c r="AC138">
        <v>316339.06083427102</v>
      </c>
      <c r="AD138">
        <v>316339.06083427102</v>
      </c>
      <c r="AE138">
        <v>316339.06083427102</v>
      </c>
      <c r="AF138">
        <v>316339.06083427102</v>
      </c>
      <c r="AG138">
        <v>316339.06083427102</v>
      </c>
      <c r="AH138">
        <v>316339.06083427102</v>
      </c>
      <c r="AI138">
        <v>316339.06083427102</v>
      </c>
      <c r="AJ138">
        <v>316339.06083427102</v>
      </c>
      <c r="AK138">
        <v>316339.06083427102</v>
      </c>
      <c r="AL138">
        <v>316339.06083427102</v>
      </c>
      <c r="AM138">
        <v>316339.06083427102</v>
      </c>
      <c r="AN138">
        <v>316339.06083427102</v>
      </c>
    </row>
    <row r="139" spans="20:40" x14ac:dyDescent="0.45">
      <c r="T139">
        <v>0.4</v>
      </c>
      <c r="U139">
        <v>276340.97000124992</v>
      </c>
      <c r="V139">
        <v>276340.97000124992</v>
      </c>
      <c r="W139">
        <v>276340.97000124992</v>
      </c>
      <c r="X139">
        <v>276340.97000124992</v>
      </c>
      <c r="Y139">
        <v>276340.97000124992</v>
      </c>
      <c r="Z139">
        <v>276340.97000124992</v>
      </c>
      <c r="AA139">
        <v>276340.97000124992</v>
      </c>
      <c r="AB139">
        <v>276340.97000124992</v>
      </c>
      <c r="AC139">
        <v>276340.97000124992</v>
      </c>
      <c r="AD139">
        <v>276340.97000124992</v>
      </c>
      <c r="AE139">
        <v>276340.97000124992</v>
      </c>
      <c r="AF139">
        <v>276340.97000124992</v>
      </c>
      <c r="AG139">
        <v>276340.97000124992</v>
      </c>
      <c r="AH139">
        <v>276340.97000124992</v>
      </c>
      <c r="AI139">
        <v>276340.97000124992</v>
      </c>
      <c r="AJ139">
        <v>276340.97000124992</v>
      </c>
      <c r="AK139">
        <v>276340.97000124992</v>
      </c>
      <c r="AL139">
        <v>276340.97000124992</v>
      </c>
      <c r="AM139">
        <v>276340.97000124992</v>
      </c>
      <c r="AN139">
        <v>276340.97000124992</v>
      </c>
    </row>
    <row r="140" spans="20:40" x14ac:dyDescent="0.45">
      <c r="T140">
        <v>0.5</v>
      </c>
      <c r="U140">
        <v>236342.87916822894</v>
      </c>
      <c r="V140">
        <v>236342.87916822894</v>
      </c>
      <c r="W140">
        <v>236342.87916822894</v>
      </c>
      <c r="X140">
        <v>236342.87916822894</v>
      </c>
      <c r="Y140">
        <v>236342.87916822894</v>
      </c>
      <c r="Z140">
        <v>236342.87916822894</v>
      </c>
      <c r="AA140">
        <v>236342.87916822894</v>
      </c>
      <c r="AB140">
        <v>236342.87916822894</v>
      </c>
      <c r="AC140">
        <v>236342.87916822894</v>
      </c>
      <c r="AD140">
        <v>236342.87916822894</v>
      </c>
      <c r="AE140">
        <v>236342.87916822894</v>
      </c>
      <c r="AF140">
        <v>236342.87916822894</v>
      </c>
      <c r="AG140">
        <v>236342.87916822894</v>
      </c>
      <c r="AH140">
        <v>236342.87916822894</v>
      </c>
      <c r="AI140">
        <v>236342.87916822894</v>
      </c>
      <c r="AJ140">
        <v>236342.87916822894</v>
      </c>
      <c r="AK140">
        <v>236342.87916822894</v>
      </c>
      <c r="AL140">
        <v>236342.87916822894</v>
      </c>
      <c r="AM140">
        <v>236342.87916822894</v>
      </c>
      <c r="AN140">
        <v>236342.87916822894</v>
      </c>
    </row>
    <row r="141" spans="20:40" x14ac:dyDescent="0.45">
      <c r="T141">
        <v>0.6</v>
      </c>
      <c r="U141">
        <v>196344.78833520785</v>
      </c>
      <c r="V141">
        <v>196344.78833520785</v>
      </c>
      <c r="W141">
        <v>196344.78833520785</v>
      </c>
      <c r="X141">
        <v>196344.78833520785</v>
      </c>
      <c r="Y141">
        <v>196344.78833520785</v>
      </c>
      <c r="Z141">
        <v>196344.78833520785</v>
      </c>
      <c r="AA141">
        <v>196344.78833520785</v>
      </c>
      <c r="AB141">
        <v>196344.78833520785</v>
      </c>
      <c r="AC141">
        <v>196344.78833520785</v>
      </c>
      <c r="AD141">
        <v>196344.78833520785</v>
      </c>
      <c r="AE141">
        <v>196344.78833520785</v>
      </c>
      <c r="AF141">
        <v>196344.78833520785</v>
      </c>
      <c r="AG141">
        <v>196344.78833520785</v>
      </c>
      <c r="AH141">
        <v>196344.78833520785</v>
      </c>
      <c r="AI141">
        <v>196344.78833520785</v>
      </c>
      <c r="AJ141">
        <v>196344.78833520785</v>
      </c>
      <c r="AK141">
        <v>196344.78833520785</v>
      </c>
      <c r="AL141">
        <v>196344.78833520785</v>
      </c>
      <c r="AM141">
        <v>196344.78833520785</v>
      </c>
      <c r="AN141">
        <v>196344.78833520785</v>
      </c>
    </row>
    <row r="142" spans="20:40" x14ac:dyDescent="0.45">
      <c r="T142">
        <v>0.7</v>
      </c>
      <c r="U142">
        <v>156346.69750218675</v>
      </c>
      <c r="V142">
        <v>156346.69750218675</v>
      </c>
      <c r="W142">
        <v>156346.69750218675</v>
      </c>
      <c r="X142">
        <v>156346.69750218675</v>
      </c>
      <c r="Y142">
        <v>156346.69750218675</v>
      </c>
      <c r="Z142">
        <v>156346.69750218675</v>
      </c>
      <c r="AA142">
        <v>156346.69750218675</v>
      </c>
      <c r="AB142">
        <v>156346.69750218675</v>
      </c>
      <c r="AC142">
        <v>156346.69750218675</v>
      </c>
      <c r="AD142">
        <v>156346.69750218675</v>
      </c>
      <c r="AE142">
        <v>156346.69750218675</v>
      </c>
      <c r="AF142">
        <v>156346.69750218675</v>
      </c>
      <c r="AG142">
        <v>156346.69750218675</v>
      </c>
      <c r="AH142">
        <v>156346.69750218675</v>
      </c>
      <c r="AI142">
        <v>156346.69750218675</v>
      </c>
      <c r="AJ142">
        <v>156346.69750218675</v>
      </c>
      <c r="AK142">
        <v>156346.69750218675</v>
      </c>
      <c r="AL142">
        <v>156346.69750218675</v>
      </c>
      <c r="AM142">
        <v>156346.69750218675</v>
      </c>
      <c r="AN142">
        <v>156346.69750218675</v>
      </c>
    </row>
    <row r="143" spans="20:40" x14ac:dyDescent="0.45">
      <c r="T143">
        <v>0.8</v>
      </c>
      <c r="U143">
        <v>116348.60666916566</v>
      </c>
      <c r="V143">
        <v>116348.60666916566</v>
      </c>
      <c r="W143">
        <v>116348.60666916566</v>
      </c>
      <c r="X143">
        <v>116348.60666916566</v>
      </c>
      <c r="Y143">
        <v>116348.60666916566</v>
      </c>
      <c r="Z143">
        <v>116348.60666916566</v>
      </c>
      <c r="AA143">
        <v>116348.60666916566</v>
      </c>
      <c r="AB143">
        <v>116348.60666916566</v>
      </c>
      <c r="AC143">
        <v>116348.60666916566</v>
      </c>
      <c r="AD143">
        <v>116348.60666916566</v>
      </c>
      <c r="AE143">
        <v>116348.60666916566</v>
      </c>
      <c r="AF143">
        <v>116348.60666916566</v>
      </c>
      <c r="AG143">
        <v>116348.60666916566</v>
      </c>
      <c r="AH143">
        <v>116348.60666916566</v>
      </c>
      <c r="AI143">
        <v>116348.60666916566</v>
      </c>
      <c r="AJ143">
        <v>116348.60666916566</v>
      </c>
      <c r="AK143">
        <v>116348.60666916566</v>
      </c>
      <c r="AL143">
        <v>116348.60666916566</v>
      </c>
      <c r="AM143">
        <v>116348.60666916566</v>
      </c>
      <c r="AN143">
        <v>116348.60666916566</v>
      </c>
    </row>
    <row r="144" spans="20:40" x14ac:dyDescent="0.45">
      <c r="T144">
        <v>0.9</v>
      </c>
      <c r="U144">
        <v>76350.515836144565</v>
      </c>
      <c r="V144">
        <v>76350.515836144565</v>
      </c>
      <c r="W144">
        <v>76350.515836144565</v>
      </c>
      <c r="X144">
        <v>76350.515836144565</v>
      </c>
      <c r="Y144">
        <v>76350.515836144565</v>
      </c>
      <c r="Z144">
        <v>76350.515836144565</v>
      </c>
      <c r="AA144">
        <v>76350.515836144565</v>
      </c>
      <c r="AB144">
        <v>76350.515836144565</v>
      </c>
      <c r="AC144">
        <v>76350.515836144565</v>
      </c>
      <c r="AD144">
        <v>76350.515836144565</v>
      </c>
      <c r="AE144">
        <v>76350.515836144565</v>
      </c>
      <c r="AF144">
        <v>76350.515836144565</v>
      </c>
      <c r="AG144">
        <v>76350.515836144565</v>
      </c>
      <c r="AH144">
        <v>76350.515836144565</v>
      </c>
      <c r="AI144">
        <v>76350.515836144565</v>
      </c>
      <c r="AJ144">
        <v>76350.515836144565</v>
      </c>
      <c r="AK144">
        <v>76350.515836144565</v>
      </c>
      <c r="AL144">
        <v>76350.515836144565</v>
      </c>
      <c r="AM144">
        <v>76350.515836144565</v>
      </c>
      <c r="AN144">
        <v>76350.515836144565</v>
      </c>
    </row>
    <row r="145" spans="20:40" x14ac:dyDescent="0.45">
      <c r="T145">
        <v>1</v>
      </c>
      <c r="U145">
        <v>36352.42500312347</v>
      </c>
      <c r="V145">
        <v>36352.42500312347</v>
      </c>
      <c r="W145">
        <v>36352.42500312347</v>
      </c>
      <c r="X145">
        <v>36352.42500312347</v>
      </c>
      <c r="Y145">
        <v>36352.42500312347</v>
      </c>
      <c r="Z145">
        <v>36352.42500312347</v>
      </c>
      <c r="AA145">
        <v>36352.42500312347</v>
      </c>
      <c r="AB145">
        <v>36352.42500312347</v>
      </c>
      <c r="AC145">
        <v>36352.42500312347</v>
      </c>
      <c r="AD145">
        <v>36352.42500312347</v>
      </c>
      <c r="AE145">
        <v>36352.42500312347</v>
      </c>
      <c r="AF145">
        <v>36352.42500312347</v>
      </c>
      <c r="AG145">
        <v>36352.42500312347</v>
      </c>
      <c r="AH145">
        <v>36352.42500312347</v>
      </c>
      <c r="AI145">
        <v>36352.42500312347</v>
      </c>
      <c r="AJ145">
        <v>36352.42500312347</v>
      </c>
      <c r="AK145">
        <v>36352.42500312347</v>
      </c>
      <c r="AL145">
        <v>36352.42500312347</v>
      </c>
      <c r="AM145">
        <v>36352.42500312347</v>
      </c>
      <c r="AN145">
        <v>36352.42500312347</v>
      </c>
    </row>
    <row r="146" spans="20:40" x14ac:dyDescent="0.45">
      <c r="T146">
        <v>1.1000000000000001</v>
      </c>
      <c r="U146">
        <v>-3645.6658298976254</v>
      </c>
      <c r="V146">
        <v>-3645.6658298976254</v>
      </c>
      <c r="W146">
        <v>-3645.6658298976254</v>
      </c>
      <c r="X146">
        <v>-3645.6658298976254</v>
      </c>
      <c r="Y146">
        <v>-3645.6658298976254</v>
      </c>
      <c r="Z146">
        <v>-3645.6658298976254</v>
      </c>
      <c r="AA146">
        <v>-3645.6658298976254</v>
      </c>
      <c r="AB146">
        <v>-3645.6658298976254</v>
      </c>
      <c r="AC146">
        <v>-3645.6658298976254</v>
      </c>
      <c r="AD146">
        <v>-3645.6658298976254</v>
      </c>
      <c r="AE146">
        <v>-3645.6658298976254</v>
      </c>
      <c r="AF146">
        <v>-3645.6658298976254</v>
      </c>
      <c r="AG146">
        <v>-3645.6658298976254</v>
      </c>
      <c r="AH146">
        <v>-3645.6658298976254</v>
      </c>
      <c r="AI146">
        <v>-3645.6658298976254</v>
      </c>
      <c r="AJ146">
        <v>-3645.6658298976254</v>
      </c>
      <c r="AK146">
        <v>-3645.6658298976254</v>
      </c>
      <c r="AL146">
        <v>-3645.6658298976254</v>
      </c>
      <c r="AM146">
        <v>-3645.6658298976254</v>
      </c>
      <c r="AN146">
        <v>-3645.6658298976254</v>
      </c>
    </row>
    <row r="147" spans="20:40" x14ac:dyDescent="0.45">
      <c r="T147">
        <v>1.2</v>
      </c>
      <c r="U147">
        <v>-43643.756662918604</v>
      </c>
      <c r="V147">
        <v>-43643.756662918604</v>
      </c>
      <c r="W147">
        <v>-43643.756662918604</v>
      </c>
      <c r="X147">
        <v>-43643.756662918604</v>
      </c>
      <c r="Y147">
        <v>-43643.756662918604</v>
      </c>
      <c r="Z147">
        <v>-43643.756662918604</v>
      </c>
      <c r="AA147">
        <v>-43643.756662918604</v>
      </c>
      <c r="AB147">
        <v>-43643.756662918604</v>
      </c>
      <c r="AC147">
        <v>-43643.756662918604</v>
      </c>
      <c r="AD147">
        <v>-43643.756662918604</v>
      </c>
      <c r="AE147">
        <v>-43643.756662918604</v>
      </c>
      <c r="AF147">
        <v>-43643.756662918604</v>
      </c>
      <c r="AG147">
        <v>-43643.756662918604</v>
      </c>
      <c r="AH147">
        <v>-43643.756662918604</v>
      </c>
      <c r="AI147">
        <v>-43643.756662918604</v>
      </c>
      <c r="AJ147">
        <v>-43643.756662918604</v>
      </c>
      <c r="AK147">
        <v>-43643.756662918604</v>
      </c>
      <c r="AL147">
        <v>-43643.756662918604</v>
      </c>
      <c r="AM147">
        <v>-43643.756662918604</v>
      </c>
      <c r="AN147">
        <v>-43643.756662918604</v>
      </c>
    </row>
    <row r="148" spans="20:40" x14ac:dyDescent="0.45">
      <c r="T148">
        <v>1.3</v>
      </c>
      <c r="U148">
        <v>-83641.847495939815</v>
      </c>
      <c r="V148">
        <v>-83641.847495939815</v>
      </c>
      <c r="W148">
        <v>-83641.847495939815</v>
      </c>
      <c r="X148">
        <v>-83641.847495939815</v>
      </c>
      <c r="Y148">
        <v>-83641.847495939815</v>
      </c>
      <c r="Z148">
        <v>-83641.847495939815</v>
      </c>
      <c r="AA148">
        <v>-83641.847495939815</v>
      </c>
      <c r="AB148">
        <v>-83641.847495939815</v>
      </c>
      <c r="AC148">
        <v>-83641.847495939815</v>
      </c>
      <c r="AD148">
        <v>-83641.847495939815</v>
      </c>
      <c r="AE148">
        <v>-83641.847495939815</v>
      </c>
      <c r="AF148">
        <v>-83641.847495939815</v>
      </c>
      <c r="AG148">
        <v>-83641.847495939815</v>
      </c>
      <c r="AH148">
        <v>-83641.847495939815</v>
      </c>
      <c r="AI148">
        <v>-83641.847495939815</v>
      </c>
      <c r="AJ148">
        <v>-83641.847495939815</v>
      </c>
      <c r="AK148">
        <v>-83641.847495939815</v>
      </c>
      <c r="AL148">
        <v>-83641.847495939815</v>
      </c>
      <c r="AM148">
        <v>-83641.847495939815</v>
      </c>
      <c r="AN148">
        <v>-83641.847495939815</v>
      </c>
    </row>
    <row r="149" spans="20:40" x14ac:dyDescent="0.45">
      <c r="T149">
        <v>1.4</v>
      </c>
      <c r="U149">
        <v>-123639.93832896068</v>
      </c>
      <c r="V149">
        <v>-123639.93832896068</v>
      </c>
      <c r="W149">
        <v>-123639.93832896068</v>
      </c>
      <c r="X149">
        <v>-123639.93832896068</v>
      </c>
      <c r="Y149">
        <v>-123639.93832896068</v>
      </c>
      <c r="Z149">
        <v>-123639.93832896068</v>
      </c>
      <c r="AA149">
        <v>-123639.93832896068</v>
      </c>
      <c r="AB149">
        <v>-123639.93832896068</v>
      </c>
      <c r="AC149">
        <v>-123639.93832896068</v>
      </c>
      <c r="AD149">
        <v>-123639.93832896068</v>
      </c>
      <c r="AE149">
        <v>-123639.93832896068</v>
      </c>
      <c r="AF149">
        <v>-123639.93832896068</v>
      </c>
      <c r="AG149">
        <v>-123639.93832896068</v>
      </c>
      <c r="AH149">
        <v>-123639.93832896068</v>
      </c>
      <c r="AI149">
        <v>-123639.93832896068</v>
      </c>
      <c r="AJ149">
        <v>-123639.93832896068</v>
      </c>
      <c r="AK149">
        <v>-123639.93832896068</v>
      </c>
      <c r="AL149">
        <v>-123639.93832896068</v>
      </c>
      <c r="AM149">
        <v>-123639.93832896068</v>
      </c>
      <c r="AN149">
        <v>-123639.93832896068</v>
      </c>
    </row>
    <row r="150" spans="20:40" x14ac:dyDescent="0.45">
      <c r="T150">
        <v>1.5</v>
      </c>
      <c r="U150">
        <v>-163638.02916198177</v>
      </c>
      <c r="V150">
        <v>-163638.02916198177</v>
      </c>
      <c r="W150">
        <v>-163638.02916198177</v>
      </c>
      <c r="X150">
        <v>-163638.02916198177</v>
      </c>
      <c r="Y150">
        <v>-163638.02916198177</v>
      </c>
      <c r="Z150">
        <v>-163638.02916198177</v>
      </c>
      <c r="AA150">
        <v>-163638.02916198177</v>
      </c>
      <c r="AB150">
        <v>-163638.02916198177</v>
      </c>
      <c r="AC150">
        <v>-163638.02916198177</v>
      </c>
      <c r="AD150">
        <v>-163638.02916198177</v>
      </c>
      <c r="AE150">
        <v>-163638.02916198177</v>
      </c>
      <c r="AF150">
        <v>-163638.02916198177</v>
      </c>
      <c r="AG150">
        <v>-163638.02916198177</v>
      </c>
      <c r="AH150">
        <v>-163638.02916198177</v>
      </c>
      <c r="AI150">
        <v>-163638.02916198177</v>
      </c>
      <c r="AJ150">
        <v>-163638.02916198177</v>
      </c>
      <c r="AK150">
        <v>-163638.02916198177</v>
      </c>
      <c r="AL150">
        <v>-163638.02916198177</v>
      </c>
      <c r="AM150">
        <v>-163638.02916198177</v>
      </c>
      <c r="AN150">
        <v>-163638.02916198177</v>
      </c>
    </row>
    <row r="151" spans="20:40" x14ac:dyDescent="0.45">
      <c r="T151">
        <v>1.6</v>
      </c>
      <c r="U151">
        <v>-203636.11999500298</v>
      </c>
      <c r="V151">
        <v>-203636.11999500298</v>
      </c>
      <c r="W151">
        <v>-203636.11999500298</v>
      </c>
      <c r="X151">
        <v>-203636.11999500298</v>
      </c>
      <c r="Y151">
        <v>-203636.11999500298</v>
      </c>
      <c r="Z151">
        <v>-203636.11999500298</v>
      </c>
      <c r="AA151">
        <v>-203636.11999500298</v>
      </c>
      <c r="AB151">
        <v>-203636.11999500298</v>
      </c>
      <c r="AC151">
        <v>-203636.11999500298</v>
      </c>
      <c r="AD151">
        <v>-203636.11999500298</v>
      </c>
      <c r="AE151">
        <v>-203636.11999500298</v>
      </c>
      <c r="AF151">
        <v>-203636.11999500298</v>
      </c>
      <c r="AG151">
        <v>-203636.11999500298</v>
      </c>
      <c r="AH151">
        <v>-203636.11999500298</v>
      </c>
      <c r="AI151">
        <v>-203636.11999500298</v>
      </c>
      <c r="AJ151">
        <v>-203636.11999500298</v>
      </c>
      <c r="AK151">
        <v>-203636.11999500298</v>
      </c>
      <c r="AL151">
        <v>-203636.11999500298</v>
      </c>
      <c r="AM151">
        <v>-203636.11999500298</v>
      </c>
      <c r="AN151">
        <v>-203636.11999500298</v>
      </c>
    </row>
    <row r="152" spans="20:40" x14ac:dyDescent="0.45">
      <c r="T152">
        <v>1.7</v>
      </c>
      <c r="U152">
        <v>-243634.21082802396</v>
      </c>
      <c r="V152">
        <v>-243634.21082802396</v>
      </c>
      <c r="W152">
        <v>-243634.21082802396</v>
      </c>
      <c r="X152">
        <v>-243634.21082802396</v>
      </c>
      <c r="Y152">
        <v>-243634.21082802396</v>
      </c>
      <c r="Z152">
        <v>-243634.21082802396</v>
      </c>
      <c r="AA152">
        <v>-243634.21082802396</v>
      </c>
      <c r="AB152">
        <v>-243634.21082802396</v>
      </c>
      <c r="AC152">
        <v>-243634.21082802396</v>
      </c>
      <c r="AD152">
        <v>-243634.21082802396</v>
      </c>
      <c r="AE152">
        <v>-243634.21082802396</v>
      </c>
      <c r="AF152">
        <v>-243634.21082802396</v>
      </c>
      <c r="AG152">
        <v>-243634.21082802396</v>
      </c>
      <c r="AH152">
        <v>-243634.21082802396</v>
      </c>
      <c r="AI152">
        <v>-243634.21082802396</v>
      </c>
      <c r="AJ152">
        <v>-243634.21082802396</v>
      </c>
      <c r="AK152">
        <v>-243634.21082802396</v>
      </c>
      <c r="AL152">
        <v>-243634.21082802396</v>
      </c>
      <c r="AM152">
        <v>-243634.21082802396</v>
      </c>
      <c r="AN152">
        <v>-243634.21082802396</v>
      </c>
    </row>
    <row r="153" spans="20:40" x14ac:dyDescent="0.45">
      <c r="T153">
        <v>1.8</v>
      </c>
      <c r="U153">
        <v>-283632.30166104506</v>
      </c>
      <c r="V153">
        <v>-283632.30166104506</v>
      </c>
      <c r="W153">
        <v>-283632.30166104506</v>
      </c>
      <c r="X153">
        <v>-283632.30166104506</v>
      </c>
      <c r="Y153">
        <v>-283632.30166104506</v>
      </c>
      <c r="Z153">
        <v>-283632.30166104506</v>
      </c>
      <c r="AA153">
        <v>-283632.30166104506</v>
      </c>
      <c r="AB153">
        <v>-283632.30166104506</v>
      </c>
      <c r="AC153">
        <v>-283632.30166104506</v>
      </c>
      <c r="AD153">
        <v>-283632.30166104506</v>
      </c>
      <c r="AE153">
        <v>-283632.30166104506</v>
      </c>
      <c r="AF153">
        <v>-283632.30166104506</v>
      </c>
      <c r="AG153">
        <v>-283632.30166104506</v>
      </c>
      <c r="AH153">
        <v>-283632.30166104506</v>
      </c>
      <c r="AI153">
        <v>-283632.30166104506</v>
      </c>
      <c r="AJ153">
        <v>-283632.30166104506</v>
      </c>
      <c r="AK153">
        <v>-283632.30166104506</v>
      </c>
      <c r="AL153">
        <v>-283632.30166104506</v>
      </c>
      <c r="AM153">
        <v>-283632.30166104506</v>
      </c>
      <c r="AN153">
        <v>-283632.30166104506</v>
      </c>
    </row>
    <row r="154" spans="20:40" x14ac:dyDescent="0.45">
      <c r="T154">
        <v>1.9</v>
      </c>
      <c r="U154">
        <v>-323630.39249406615</v>
      </c>
      <c r="V154">
        <v>-323630.39249406615</v>
      </c>
      <c r="W154">
        <v>-323630.39249406615</v>
      </c>
      <c r="X154">
        <v>-323630.39249406615</v>
      </c>
      <c r="Y154">
        <v>-323630.39249406615</v>
      </c>
      <c r="Z154">
        <v>-323630.39249406615</v>
      </c>
      <c r="AA154">
        <v>-323630.39249406615</v>
      </c>
      <c r="AB154">
        <v>-323630.39249406615</v>
      </c>
      <c r="AC154">
        <v>-323630.39249406615</v>
      </c>
      <c r="AD154">
        <v>-323630.39249406615</v>
      </c>
      <c r="AE154">
        <v>-323630.39249406615</v>
      </c>
      <c r="AF154">
        <v>-323630.39249406615</v>
      </c>
      <c r="AG154">
        <v>-323630.39249406615</v>
      </c>
      <c r="AH154">
        <v>-323630.39249406615</v>
      </c>
      <c r="AI154">
        <v>-323630.39249406615</v>
      </c>
      <c r="AJ154">
        <v>-323630.39249406615</v>
      </c>
      <c r="AK154">
        <v>-323630.39249406615</v>
      </c>
      <c r="AL154">
        <v>-323630.39249406615</v>
      </c>
      <c r="AM154">
        <v>-323630.39249406615</v>
      </c>
      <c r="AN154">
        <v>-323630.39249406615</v>
      </c>
    </row>
    <row r="155" spans="20:40" x14ac:dyDescent="0.45">
      <c r="T155">
        <v>2</v>
      </c>
      <c r="U155">
        <v>-363628.48332708701</v>
      </c>
      <c r="V155">
        <v>-363628.48332708701</v>
      </c>
      <c r="W155">
        <v>-363628.48332708701</v>
      </c>
      <c r="X155">
        <v>-363628.48332708701</v>
      </c>
      <c r="Y155">
        <v>-363628.48332708701</v>
      </c>
      <c r="Z155">
        <v>-363628.48332708701</v>
      </c>
      <c r="AA155">
        <v>-363628.48332708701</v>
      </c>
      <c r="AB155">
        <v>-363628.48332708701</v>
      </c>
      <c r="AC155">
        <v>-363628.48332708701</v>
      </c>
      <c r="AD155">
        <v>-363628.48332708701</v>
      </c>
      <c r="AE155">
        <v>-363628.48332708701</v>
      </c>
      <c r="AF155">
        <v>-363628.48332708701</v>
      </c>
      <c r="AG155">
        <v>-363628.48332708701</v>
      </c>
      <c r="AH155">
        <v>-363628.48332708701</v>
      </c>
      <c r="AI155">
        <v>-363628.48332708701</v>
      </c>
      <c r="AJ155">
        <v>-363628.48332708701</v>
      </c>
      <c r="AK155">
        <v>-363628.48332708701</v>
      </c>
      <c r="AL155">
        <v>-363628.48332708701</v>
      </c>
      <c r="AM155">
        <v>-363628.48332708701</v>
      </c>
      <c r="AN155">
        <v>-363628.48332708701</v>
      </c>
    </row>
  </sheetData>
  <conditionalFormatting sqref="U136:AN1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Sidhant Dhall</dc:creator>
  <cp:keywords/>
  <dc:description/>
  <cp:lastModifiedBy>aditya vedantam</cp:lastModifiedBy>
  <cp:revision/>
  <dcterms:created xsi:type="dcterms:W3CDTF">2015-06-05T18:17:20Z</dcterms:created>
  <dcterms:modified xsi:type="dcterms:W3CDTF">2023-07-01T07:31:38Z</dcterms:modified>
  <cp:category/>
  <cp:contentStatus/>
</cp:coreProperties>
</file>